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2312721\Documents\GAMS\Studio\workspace\Household Conservation\"/>
    </mc:Choice>
  </mc:AlternateContent>
  <xr:revisionPtr revIDLastSave="0" documentId="13_ncr:1_{8787B26D-B756-42DF-91F2-1C55271DBD99}" xr6:coauthVersionLast="47" xr6:coauthVersionMax="47" xr10:uidLastSave="{00000000-0000-0000-0000-000000000000}"/>
  <bookViews>
    <workbookView xWindow="-110" yWindow="-110" windowWidth="19420" windowHeight="10300" activeTab="1" xr2:uid="{446D4A94-9684-4238-8072-63438F0D444D}"/>
  </bookViews>
  <sheets>
    <sheet name="Savings Percent" sheetId="23" r:id="rId1"/>
    <sheet name="Figures" sheetId="24" r:id="rId2"/>
    <sheet name="Summary" sheetId="1" r:id="rId3"/>
    <sheet name="SavingsBreakdown" sheetId="2" r:id="rId4"/>
    <sheet name="OutdoorDetails" sheetId="3" r:id="rId5"/>
    <sheet name="WaterBefore" sheetId="4" r:id="rId6"/>
    <sheet name="WaterAfter" sheetId="5" r:id="rId7"/>
    <sheet name="LongTermActions" sheetId="6" r:id="rId8"/>
    <sheet name="ShortTermActions" sheetId="7" r:id="rId9"/>
    <sheet name="WillingLong" sheetId="8" r:id="rId10"/>
    <sheet name="WillingShort" sheetId="9" r:id="rId11"/>
    <sheet name="MCResults" sheetId="10" r:id="rId12"/>
    <sheet name="MCWaterBefore" sheetId="11" r:id="rId13"/>
    <sheet name="MCWaterAfter" sheetId="12" r:id="rId14"/>
    <sheet name="MCActionShort" sheetId="13" r:id="rId15"/>
    <sheet name="MCActionLong" sheetId="14" r:id="rId16"/>
    <sheet name="MCWillingShort" sheetId="15" r:id="rId17"/>
    <sheet name="MCWillingLong" sheetId="16" r:id="rId18"/>
    <sheet name="MCOutdoorBase" sheetId="17" r:id="rId19"/>
    <sheet name="MCOutdoorTarget" sheetId="18" r:id="rId20"/>
    <sheet name="MCOutdoorWilling" sheetId="19" r:id="rId21"/>
    <sheet name="MCWaterSavings" sheetId="20" r:id="rId22"/>
    <sheet name="MCBillSavings" sheetId="21" r:id="rId23"/>
    <sheet name="MCOutdoorReductionVol" sheetId="2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3" l="1"/>
  <c r="K4" i="23" s="1"/>
  <c r="L3" i="23"/>
  <c r="M3" i="23"/>
  <c r="N3" i="23"/>
  <c r="N4" i="23" s="1"/>
  <c r="L4" i="23"/>
  <c r="L5" i="23" s="1"/>
  <c r="M4" i="23"/>
  <c r="J13" i="23"/>
  <c r="J3" i="23"/>
  <c r="J4" i="23" s="1"/>
  <c r="I12" i="23"/>
  <c r="I11" i="23"/>
  <c r="I10" i="23"/>
  <c r="I9" i="23"/>
  <c r="I8" i="23"/>
  <c r="I7" i="23"/>
  <c r="I6" i="23"/>
  <c r="I5" i="23"/>
  <c r="I3" i="23"/>
  <c r="I4" i="23" s="1"/>
  <c r="B12" i="24"/>
  <c r="D24" i="24"/>
  <c r="D23" i="24"/>
  <c r="D22" i="24"/>
  <c r="D21" i="24"/>
  <c r="D20" i="24"/>
  <c r="D19" i="24"/>
  <c r="C24" i="24"/>
  <c r="C23" i="24"/>
  <c r="C22" i="24"/>
  <c r="C21" i="24"/>
  <c r="C20" i="24"/>
  <c r="C19" i="24"/>
  <c r="B24" i="24"/>
  <c r="B23" i="24"/>
  <c r="B22" i="24"/>
  <c r="B21" i="24"/>
  <c r="B20" i="24"/>
  <c r="B19" i="24"/>
  <c r="B11" i="24"/>
  <c r="B10" i="24"/>
  <c r="B9" i="24"/>
  <c r="B8" i="24"/>
  <c r="B7" i="24"/>
  <c r="B6" i="24"/>
  <c r="B5" i="24"/>
  <c r="B4" i="24"/>
  <c r="B3" i="24"/>
  <c r="B2" i="24"/>
  <c r="A4" i="23"/>
  <c r="B4" i="23"/>
  <c r="C4" i="23"/>
  <c r="D4" i="23"/>
  <c r="E4" i="23"/>
  <c r="F4" i="23"/>
  <c r="A5" i="23"/>
  <c r="B5" i="23"/>
  <c r="C5" i="23"/>
  <c r="D5" i="23"/>
  <c r="E5" i="23"/>
  <c r="F5" i="23"/>
  <c r="A6" i="23"/>
  <c r="B6" i="23"/>
  <c r="C6" i="23"/>
  <c r="D6" i="23"/>
  <c r="E6" i="23"/>
  <c r="F6" i="23"/>
  <c r="A7" i="23"/>
  <c r="B7" i="23"/>
  <c r="C7" i="23"/>
  <c r="D7" i="23"/>
  <c r="E7" i="23"/>
  <c r="F7" i="23"/>
  <c r="A8" i="23"/>
  <c r="B8" i="23"/>
  <c r="C8" i="23"/>
  <c r="D8" i="23"/>
  <c r="E8" i="23"/>
  <c r="F8" i="23"/>
  <c r="A9" i="23"/>
  <c r="B9" i="23"/>
  <c r="C9" i="23"/>
  <c r="D9" i="23"/>
  <c r="E9" i="23"/>
  <c r="F9" i="23"/>
  <c r="A10" i="23"/>
  <c r="B10" i="23"/>
  <c r="C10" i="23"/>
  <c r="D10" i="23"/>
  <c r="E10" i="23"/>
  <c r="F10" i="23"/>
  <c r="A11" i="23"/>
  <c r="B11" i="23"/>
  <c r="C11" i="23"/>
  <c r="D11" i="23"/>
  <c r="E11" i="23"/>
  <c r="F11" i="23"/>
  <c r="A12" i="23"/>
  <c r="B12" i="23"/>
  <c r="C12" i="23"/>
  <c r="D12" i="23"/>
  <c r="E12" i="23"/>
  <c r="F12" i="23"/>
  <c r="A13" i="23"/>
  <c r="B13" i="23"/>
  <c r="C13" i="23"/>
  <c r="D13" i="23"/>
  <c r="E13" i="23"/>
  <c r="F13" i="23"/>
  <c r="A14" i="23"/>
  <c r="B14" i="23"/>
  <c r="C14" i="23"/>
  <c r="D14" i="23"/>
  <c r="E14" i="23"/>
  <c r="F14" i="23"/>
  <c r="A15" i="23"/>
  <c r="B15" i="23"/>
  <c r="C15" i="23"/>
  <c r="D15" i="23"/>
  <c r="E15" i="23"/>
  <c r="F15" i="23"/>
  <c r="A16" i="23"/>
  <c r="B16" i="23"/>
  <c r="C16" i="23"/>
  <c r="D16" i="23"/>
  <c r="E16" i="23"/>
  <c r="F16" i="23"/>
  <c r="A17" i="23"/>
  <c r="B17" i="23"/>
  <c r="C17" i="23"/>
  <c r="D17" i="23"/>
  <c r="E17" i="23"/>
  <c r="F17" i="23"/>
  <c r="A18" i="23"/>
  <c r="B18" i="23"/>
  <c r="C18" i="23"/>
  <c r="D18" i="23"/>
  <c r="E18" i="23"/>
  <c r="F18" i="23"/>
  <c r="A19" i="23"/>
  <c r="B19" i="23"/>
  <c r="C19" i="23"/>
  <c r="D19" i="23"/>
  <c r="E19" i="23"/>
  <c r="F19" i="23"/>
  <c r="A20" i="23"/>
  <c r="B20" i="23"/>
  <c r="C20" i="23"/>
  <c r="D20" i="23"/>
  <c r="E20" i="23"/>
  <c r="F20" i="23"/>
  <c r="A21" i="23"/>
  <c r="B21" i="23"/>
  <c r="C21" i="23"/>
  <c r="D21" i="23"/>
  <c r="E21" i="23"/>
  <c r="F21" i="23"/>
  <c r="A22" i="23"/>
  <c r="B22" i="23"/>
  <c r="C22" i="23"/>
  <c r="D22" i="23"/>
  <c r="E22" i="23"/>
  <c r="F22" i="23"/>
  <c r="A23" i="23"/>
  <c r="B23" i="23"/>
  <c r="C23" i="23"/>
  <c r="D23" i="23"/>
  <c r="E23" i="23"/>
  <c r="F23" i="23"/>
  <c r="A24" i="23"/>
  <c r="B24" i="23"/>
  <c r="C24" i="23"/>
  <c r="D24" i="23"/>
  <c r="E24" i="23"/>
  <c r="F24" i="23"/>
  <c r="A25" i="23"/>
  <c r="B25" i="23"/>
  <c r="C25" i="23"/>
  <c r="D25" i="23"/>
  <c r="E25" i="23"/>
  <c r="F25" i="23"/>
  <c r="A26" i="23"/>
  <c r="B26" i="23"/>
  <c r="C26" i="23"/>
  <c r="D26" i="23"/>
  <c r="E26" i="23"/>
  <c r="F26" i="23"/>
  <c r="A27" i="23"/>
  <c r="B27" i="23"/>
  <c r="C27" i="23"/>
  <c r="D27" i="23"/>
  <c r="E27" i="23"/>
  <c r="F27" i="23"/>
  <c r="A28" i="23"/>
  <c r="B28" i="23"/>
  <c r="C28" i="23"/>
  <c r="D28" i="23"/>
  <c r="E28" i="23"/>
  <c r="F28" i="23"/>
  <c r="A29" i="23"/>
  <c r="B29" i="23"/>
  <c r="C29" i="23"/>
  <c r="D29" i="23"/>
  <c r="E29" i="23"/>
  <c r="F29" i="23"/>
  <c r="A30" i="23"/>
  <c r="B30" i="23"/>
  <c r="C30" i="23"/>
  <c r="D30" i="23"/>
  <c r="E30" i="23"/>
  <c r="F30" i="23"/>
  <c r="A31" i="23"/>
  <c r="B31" i="23"/>
  <c r="C31" i="23"/>
  <c r="D31" i="23"/>
  <c r="E31" i="23"/>
  <c r="F31" i="23"/>
  <c r="A32" i="23"/>
  <c r="B32" i="23"/>
  <c r="C32" i="23"/>
  <c r="D32" i="23"/>
  <c r="E32" i="23"/>
  <c r="F32" i="23"/>
  <c r="A33" i="23"/>
  <c r="B33" i="23"/>
  <c r="C33" i="23"/>
  <c r="D33" i="23"/>
  <c r="E33" i="23"/>
  <c r="F33" i="23"/>
  <c r="A34" i="23"/>
  <c r="B34" i="23"/>
  <c r="C34" i="23"/>
  <c r="D34" i="23"/>
  <c r="E34" i="23"/>
  <c r="F34" i="23"/>
  <c r="A35" i="23"/>
  <c r="B35" i="23"/>
  <c r="C35" i="23"/>
  <c r="D35" i="23"/>
  <c r="E35" i="23"/>
  <c r="F35" i="23"/>
  <c r="A36" i="23"/>
  <c r="B36" i="23"/>
  <c r="C36" i="23"/>
  <c r="D36" i="23"/>
  <c r="E36" i="23"/>
  <c r="F36" i="23"/>
  <c r="A37" i="23"/>
  <c r="B37" i="23"/>
  <c r="C37" i="23"/>
  <c r="D37" i="23"/>
  <c r="E37" i="23"/>
  <c r="F37" i="23"/>
  <c r="A38" i="23"/>
  <c r="B38" i="23"/>
  <c r="C38" i="23"/>
  <c r="D38" i="23"/>
  <c r="E38" i="23"/>
  <c r="F38" i="23"/>
  <c r="A39" i="23"/>
  <c r="B39" i="23"/>
  <c r="C39" i="23"/>
  <c r="D39" i="23"/>
  <c r="E39" i="23"/>
  <c r="F39" i="23"/>
  <c r="A40" i="23"/>
  <c r="B40" i="23"/>
  <c r="C40" i="23"/>
  <c r="D40" i="23"/>
  <c r="E40" i="23"/>
  <c r="F40" i="23"/>
  <c r="A41" i="23"/>
  <c r="B41" i="23"/>
  <c r="C41" i="23"/>
  <c r="D41" i="23"/>
  <c r="E41" i="23"/>
  <c r="F41" i="23"/>
  <c r="A42" i="23"/>
  <c r="B42" i="23"/>
  <c r="C42" i="23"/>
  <c r="D42" i="23"/>
  <c r="E42" i="23"/>
  <c r="F42" i="23"/>
  <c r="A43" i="23"/>
  <c r="B43" i="23"/>
  <c r="C43" i="23"/>
  <c r="D43" i="23"/>
  <c r="E43" i="23"/>
  <c r="F43" i="23"/>
  <c r="A44" i="23"/>
  <c r="B44" i="23"/>
  <c r="C44" i="23"/>
  <c r="D44" i="23"/>
  <c r="E44" i="23"/>
  <c r="F44" i="23"/>
  <c r="A45" i="23"/>
  <c r="B45" i="23"/>
  <c r="C45" i="23"/>
  <c r="D45" i="23"/>
  <c r="E45" i="23"/>
  <c r="F45" i="23"/>
  <c r="A46" i="23"/>
  <c r="B46" i="23"/>
  <c r="C46" i="23"/>
  <c r="D46" i="23"/>
  <c r="E46" i="23"/>
  <c r="F46" i="23"/>
  <c r="A47" i="23"/>
  <c r="B47" i="23"/>
  <c r="C47" i="23"/>
  <c r="D47" i="23"/>
  <c r="E47" i="23"/>
  <c r="F47" i="23"/>
  <c r="A48" i="23"/>
  <c r="B48" i="23"/>
  <c r="C48" i="23"/>
  <c r="D48" i="23"/>
  <c r="E48" i="23"/>
  <c r="F48" i="23"/>
  <c r="A49" i="23"/>
  <c r="B49" i="23"/>
  <c r="C49" i="23"/>
  <c r="D49" i="23"/>
  <c r="E49" i="23"/>
  <c r="F49" i="23"/>
  <c r="A50" i="23"/>
  <c r="B50" i="23"/>
  <c r="C50" i="23"/>
  <c r="D50" i="23"/>
  <c r="E50" i="23"/>
  <c r="F50" i="23"/>
  <c r="A51" i="23"/>
  <c r="B51" i="23"/>
  <c r="C51" i="23"/>
  <c r="D51" i="23"/>
  <c r="E51" i="23"/>
  <c r="F51" i="23"/>
  <c r="A52" i="23"/>
  <c r="B52" i="23"/>
  <c r="C52" i="23"/>
  <c r="D52" i="23"/>
  <c r="E52" i="23"/>
  <c r="F52" i="23"/>
  <c r="A53" i="23"/>
  <c r="B53" i="23"/>
  <c r="C53" i="23"/>
  <c r="D53" i="23"/>
  <c r="E53" i="23"/>
  <c r="F53" i="23"/>
  <c r="A54" i="23"/>
  <c r="B54" i="23"/>
  <c r="C54" i="23"/>
  <c r="D54" i="23"/>
  <c r="E54" i="23"/>
  <c r="F54" i="23"/>
  <c r="A55" i="23"/>
  <c r="B55" i="23"/>
  <c r="C55" i="23"/>
  <c r="D55" i="23"/>
  <c r="E55" i="23"/>
  <c r="F55" i="23"/>
  <c r="A56" i="23"/>
  <c r="B56" i="23"/>
  <c r="C56" i="23"/>
  <c r="D56" i="23"/>
  <c r="E56" i="23"/>
  <c r="F56" i="23"/>
  <c r="A57" i="23"/>
  <c r="B57" i="23"/>
  <c r="C57" i="23"/>
  <c r="D57" i="23"/>
  <c r="E57" i="23"/>
  <c r="F57" i="23"/>
  <c r="A58" i="23"/>
  <c r="B58" i="23"/>
  <c r="C58" i="23"/>
  <c r="D58" i="23"/>
  <c r="E58" i="23"/>
  <c r="F58" i="23"/>
  <c r="A59" i="23"/>
  <c r="B59" i="23"/>
  <c r="C59" i="23"/>
  <c r="D59" i="23"/>
  <c r="E59" i="23"/>
  <c r="F59" i="23"/>
  <c r="A60" i="23"/>
  <c r="B60" i="23"/>
  <c r="C60" i="23"/>
  <c r="D60" i="23"/>
  <c r="E60" i="23"/>
  <c r="F60" i="23"/>
  <c r="A61" i="23"/>
  <c r="B61" i="23"/>
  <c r="C61" i="23"/>
  <c r="D61" i="23"/>
  <c r="E61" i="23"/>
  <c r="F61" i="23"/>
  <c r="A62" i="23"/>
  <c r="B62" i="23"/>
  <c r="C62" i="23"/>
  <c r="D62" i="23"/>
  <c r="E62" i="23"/>
  <c r="F62" i="23"/>
  <c r="A63" i="23"/>
  <c r="B63" i="23"/>
  <c r="C63" i="23"/>
  <c r="D63" i="23"/>
  <c r="E63" i="23"/>
  <c r="F63" i="23"/>
  <c r="A64" i="23"/>
  <c r="B64" i="23"/>
  <c r="C64" i="23"/>
  <c r="D64" i="23"/>
  <c r="E64" i="23"/>
  <c r="F64" i="23"/>
  <c r="A65" i="23"/>
  <c r="B65" i="23"/>
  <c r="C65" i="23"/>
  <c r="D65" i="23"/>
  <c r="E65" i="23"/>
  <c r="F65" i="23"/>
  <c r="A66" i="23"/>
  <c r="B66" i="23"/>
  <c r="C66" i="23"/>
  <c r="D66" i="23"/>
  <c r="E66" i="23"/>
  <c r="F66" i="23"/>
  <c r="A67" i="23"/>
  <c r="B67" i="23"/>
  <c r="C67" i="23"/>
  <c r="D67" i="23"/>
  <c r="E67" i="23"/>
  <c r="F67" i="23"/>
  <c r="A68" i="23"/>
  <c r="B68" i="23"/>
  <c r="C68" i="23"/>
  <c r="D68" i="23"/>
  <c r="E68" i="23"/>
  <c r="F68" i="23"/>
  <c r="A69" i="23"/>
  <c r="B69" i="23"/>
  <c r="C69" i="23"/>
  <c r="D69" i="23"/>
  <c r="E69" i="23"/>
  <c r="F69" i="23"/>
  <c r="A70" i="23"/>
  <c r="B70" i="23"/>
  <c r="C70" i="23"/>
  <c r="D70" i="23"/>
  <c r="E70" i="23"/>
  <c r="F70" i="23"/>
  <c r="A71" i="23"/>
  <c r="B71" i="23"/>
  <c r="C71" i="23"/>
  <c r="D71" i="23"/>
  <c r="E71" i="23"/>
  <c r="F71" i="23"/>
  <c r="A72" i="23"/>
  <c r="B72" i="23"/>
  <c r="C72" i="23"/>
  <c r="D72" i="23"/>
  <c r="E72" i="23"/>
  <c r="F72" i="23"/>
  <c r="A73" i="23"/>
  <c r="B73" i="23"/>
  <c r="C73" i="23"/>
  <c r="D73" i="23"/>
  <c r="E73" i="23"/>
  <c r="F73" i="23"/>
  <c r="A74" i="23"/>
  <c r="B74" i="23"/>
  <c r="C74" i="23"/>
  <c r="D74" i="23"/>
  <c r="E74" i="23"/>
  <c r="F74" i="23"/>
  <c r="A75" i="23"/>
  <c r="B75" i="23"/>
  <c r="C75" i="23"/>
  <c r="D75" i="23"/>
  <c r="E75" i="23"/>
  <c r="F75" i="23"/>
  <c r="A76" i="23"/>
  <c r="B76" i="23"/>
  <c r="C76" i="23"/>
  <c r="D76" i="23"/>
  <c r="E76" i="23"/>
  <c r="F76" i="23"/>
  <c r="A77" i="23"/>
  <c r="B77" i="23"/>
  <c r="C77" i="23"/>
  <c r="D77" i="23"/>
  <c r="E77" i="23"/>
  <c r="F77" i="23"/>
  <c r="A78" i="23"/>
  <c r="B78" i="23"/>
  <c r="C78" i="23"/>
  <c r="D78" i="23"/>
  <c r="E78" i="23"/>
  <c r="F78" i="23"/>
  <c r="A79" i="23"/>
  <c r="B79" i="23"/>
  <c r="C79" i="23"/>
  <c r="D79" i="23"/>
  <c r="E79" i="23"/>
  <c r="F79" i="23"/>
  <c r="A80" i="23"/>
  <c r="B80" i="23"/>
  <c r="C80" i="23"/>
  <c r="D80" i="23"/>
  <c r="E80" i="23"/>
  <c r="F80" i="23"/>
  <c r="A81" i="23"/>
  <c r="B81" i="23"/>
  <c r="C81" i="23"/>
  <c r="D81" i="23"/>
  <c r="E81" i="23"/>
  <c r="F81" i="23"/>
  <c r="A82" i="23"/>
  <c r="B82" i="23"/>
  <c r="C82" i="23"/>
  <c r="D82" i="23"/>
  <c r="E82" i="23"/>
  <c r="F82" i="23"/>
  <c r="A83" i="23"/>
  <c r="B83" i="23"/>
  <c r="C83" i="23"/>
  <c r="D83" i="23"/>
  <c r="E83" i="23"/>
  <c r="F83" i="23"/>
  <c r="A84" i="23"/>
  <c r="B84" i="23"/>
  <c r="C84" i="23"/>
  <c r="D84" i="23"/>
  <c r="E84" i="23"/>
  <c r="F84" i="23"/>
  <c r="A85" i="23"/>
  <c r="B85" i="23"/>
  <c r="C85" i="23"/>
  <c r="D85" i="23"/>
  <c r="E85" i="23"/>
  <c r="F85" i="23"/>
  <c r="A86" i="23"/>
  <c r="B86" i="23"/>
  <c r="C86" i="23"/>
  <c r="D86" i="23"/>
  <c r="E86" i="23"/>
  <c r="F86" i="23"/>
  <c r="A87" i="23"/>
  <c r="B87" i="23"/>
  <c r="C87" i="23"/>
  <c r="D87" i="23"/>
  <c r="E87" i="23"/>
  <c r="F87" i="23"/>
  <c r="A88" i="23"/>
  <c r="B88" i="23"/>
  <c r="C88" i="23"/>
  <c r="D88" i="23"/>
  <c r="E88" i="23"/>
  <c r="F88" i="23"/>
  <c r="A89" i="23"/>
  <c r="B89" i="23"/>
  <c r="C89" i="23"/>
  <c r="D89" i="23"/>
  <c r="E89" i="23"/>
  <c r="F89" i="23"/>
  <c r="A90" i="23"/>
  <c r="B90" i="23"/>
  <c r="C90" i="23"/>
  <c r="D90" i="23"/>
  <c r="E90" i="23"/>
  <c r="F90" i="23"/>
  <c r="A91" i="23"/>
  <c r="B91" i="23"/>
  <c r="C91" i="23"/>
  <c r="D91" i="23"/>
  <c r="E91" i="23"/>
  <c r="F91" i="23"/>
  <c r="A92" i="23"/>
  <c r="B92" i="23"/>
  <c r="C92" i="23"/>
  <c r="D92" i="23"/>
  <c r="E92" i="23"/>
  <c r="F92" i="23"/>
  <c r="A93" i="23"/>
  <c r="B93" i="23"/>
  <c r="C93" i="23"/>
  <c r="D93" i="23"/>
  <c r="E93" i="23"/>
  <c r="F93" i="23"/>
  <c r="A94" i="23"/>
  <c r="B94" i="23"/>
  <c r="C94" i="23"/>
  <c r="D94" i="23"/>
  <c r="E94" i="23"/>
  <c r="F94" i="23"/>
  <c r="A95" i="23"/>
  <c r="B95" i="23"/>
  <c r="C95" i="23"/>
  <c r="D95" i="23"/>
  <c r="E95" i="23"/>
  <c r="F95" i="23"/>
  <c r="A96" i="23"/>
  <c r="B96" i="23"/>
  <c r="C96" i="23"/>
  <c r="D96" i="23"/>
  <c r="E96" i="23"/>
  <c r="F96" i="23"/>
  <c r="A97" i="23"/>
  <c r="B97" i="23"/>
  <c r="C97" i="23"/>
  <c r="D97" i="23"/>
  <c r="E97" i="23"/>
  <c r="F97" i="23"/>
  <c r="A98" i="23"/>
  <c r="B98" i="23"/>
  <c r="C98" i="23"/>
  <c r="D98" i="23"/>
  <c r="E98" i="23"/>
  <c r="F98" i="23"/>
  <c r="A99" i="23"/>
  <c r="B99" i="23"/>
  <c r="C99" i="23"/>
  <c r="D99" i="23"/>
  <c r="E99" i="23"/>
  <c r="F99" i="23"/>
  <c r="A100" i="23"/>
  <c r="B100" i="23"/>
  <c r="C100" i="23"/>
  <c r="D100" i="23"/>
  <c r="E100" i="23"/>
  <c r="F100" i="23"/>
  <c r="A101" i="23"/>
  <c r="B101" i="23"/>
  <c r="C101" i="23"/>
  <c r="D101" i="23"/>
  <c r="E101" i="23"/>
  <c r="F101" i="23"/>
  <c r="A102" i="23"/>
  <c r="B102" i="23"/>
  <c r="C102" i="23"/>
  <c r="D102" i="23"/>
  <c r="E102" i="23"/>
  <c r="F102" i="23"/>
  <c r="A103" i="23"/>
  <c r="B103" i="23"/>
  <c r="C103" i="23"/>
  <c r="D103" i="23"/>
  <c r="E103" i="23"/>
  <c r="F103" i="23"/>
  <c r="A104" i="23"/>
  <c r="B104" i="23"/>
  <c r="C104" i="23"/>
  <c r="D104" i="23"/>
  <c r="E104" i="23"/>
  <c r="F104" i="23"/>
  <c r="A105" i="23"/>
  <c r="B105" i="23"/>
  <c r="C105" i="23"/>
  <c r="D105" i="23"/>
  <c r="E105" i="23"/>
  <c r="F105" i="23"/>
  <c r="A106" i="23"/>
  <c r="B106" i="23"/>
  <c r="C106" i="23"/>
  <c r="D106" i="23"/>
  <c r="E106" i="23"/>
  <c r="F106" i="23"/>
  <c r="A107" i="23"/>
  <c r="B107" i="23"/>
  <c r="C107" i="23"/>
  <c r="D107" i="23"/>
  <c r="E107" i="23"/>
  <c r="F107" i="23"/>
  <c r="A108" i="23"/>
  <c r="B108" i="23"/>
  <c r="C108" i="23"/>
  <c r="D108" i="23"/>
  <c r="E108" i="23"/>
  <c r="F108" i="23"/>
  <c r="A109" i="23"/>
  <c r="B109" i="23"/>
  <c r="C109" i="23"/>
  <c r="D109" i="23"/>
  <c r="E109" i="23"/>
  <c r="F109" i="23"/>
  <c r="A110" i="23"/>
  <c r="B110" i="23"/>
  <c r="C110" i="23"/>
  <c r="D110" i="23"/>
  <c r="E110" i="23"/>
  <c r="F110" i="23"/>
  <c r="A111" i="23"/>
  <c r="B111" i="23"/>
  <c r="C111" i="23"/>
  <c r="D111" i="23"/>
  <c r="E111" i="23"/>
  <c r="F111" i="23"/>
  <c r="A112" i="23"/>
  <c r="B112" i="23"/>
  <c r="C112" i="23"/>
  <c r="D112" i="23"/>
  <c r="E112" i="23"/>
  <c r="F112" i="23"/>
  <c r="A113" i="23"/>
  <c r="B113" i="23"/>
  <c r="C113" i="23"/>
  <c r="D113" i="23"/>
  <c r="E113" i="23"/>
  <c r="F113" i="23"/>
  <c r="A114" i="23"/>
  <c r="B114" i="23"/>
  <c r="C114" i="23"/>
  <c r="D114" i="23"/>
  <c r="E114" i="23"/>
  <c r="F114" i="23"/>
  <c r="A115" i="23"/>
  <c r="B115" i="23"/>
  <c r="C115" i="23"/>
  <c r="D115" i="23"/>
  <c r="E115" i="23"/>
  <c r="F115" i="23"/>
  <c r="A116" i="23"/>
  <c r="B116" i="23"/>
  <c r="C116" i="23"/>
  <c r="D116" i="23"/>
  <c r="E116" i="23"/>
  <c r="F116" i="23"/>
  <c r="A117" i="23"/>
  <c r="B117" i="23"/>
  <c r="C117" i="23"/>
  <c r="D117" i="23"/>
  <c r="E117" i="23"/>
  <c r="F117" i="23"/>
  <c r="A118" i="23"/>
  <c r="B118" i="23"/>
  <c r="C118" i="23"/>
  <c r="D118" i="23"/>
  <c r="E118" i="23"/>
  <c r="F118" i="23"/>
  <c r="A119" i="23"/>
  <c r="B119" i="23"/>
  <c r="C119" i="23"/>
  <c r="D119" i="23"/>
  <c r="E119" i="23"/>
  <c r="F119" i="23"/>
  <c r="A120" i="23"/>
  <c r="B120" i="23"/>
  <c r="C120" i="23"/>
  <c r="D120" i="23"/>
  <c r="E120" i="23"/>
  <c r="F120" i="23"/>
  <c r="A121" i="23"/>
  <c r="B121" i="23"/>
  <c r="C121" i="23"/>
  <c r="D121" i="23"/>
  <c r="E121" i="23"/>
  <c r="F121" i="23"/>
  <c r="A122" i="23"/>
  <c r="B122" i="23"/>
  <c r="C122" i="23"/>
  <c r="D122" i="23"/>
  <c r="E122" i="23"/>
  <c r="F122" i="23"/>
  <c r="A123" i="23"/>
  <c r="B123" i="23"/>
  <c r="C123" i="23"/>
  <c r="D123" i="23"/>
  <c r="E123" i="23"/>
  <c r="F123" i="23"/>
  <c r="A124" i="23"/>
  <c r="B124" i="23"/>
  <c r="C124" i="23"/>
  <c r="D124" i="23"/>
  <c r="E124" i="23"/>
  <c r="F124" i="23"/>
  <c r="A125" i="23"/>
  <c r="B125" i="23"/>
  <c r="C125" i="23"/>
  <c r="D125" i="23"/>
  <c r="E125" i="23"/>
  <c r="F125" i="23"/>
  <c r="A126" i="23"/>
  <c r="B126" i="23"/>
  <c r="C126" i="23"/>
  <c r="D126" i="23"/>
  <c r="E126" i="23"/>
  <c r="F126" i="23"/>
  <c r="A127" i="23"/>
  <c r="B127" i="23"/>
  <c r="C127" i="23"/>
  <c r="D127" i="23"/>
  <c r="E127" i="23"/>
  <c r="F127" i="23"/>
  <c r="A128" i="23"/>
  <c r="B128" i="23"/>
  <c r="C128" i="23"/>
  <c r="D128" i="23"/>
  <c r="E128" i="23"/>
  <c r="F128" i="23"/>
  <c r="A129" i="23"/>
  <c r="B129" i="23"/>
  <c r="C129" i="23"/>
  <c r="D129" i="23"/>
  <c r="E129" i="23"/>
  <c r="F129" i="23"/>
  <c r="A130" i="23"/>
  <c r="B130" i="23"/>
  <c r="C130" i="23"/>
  <c r="D130" i="23"/>
  <c r="E130" i="23"/>
  <c r="F130" i="23"/>
  <c r="A131" i="23"/>
  <c r="B131" i="23"/>
  <c r="C131" i="23"/>
  <c r="D131" i="23"/>
  <c r="E131" i="23"/>
  <c r="F131" i="23"/>
  <c r="A132" i="23"/>
  <c r="B132" i="23"/>
  <c r="C132" i="23"/>
  <c r="D132" i="23"/>
  <c r="E132" i="23"/>
  <c r="F132" i="23"/>
  <c r="A133" i="23"/>
  <c r="B133" i="23"/>
  <c r="C133" i="23"/>
  <c r="D133" i="23"/>
  <c r="E133" i="23"/>
  <c r="F133" i="23"/>
  <c r="A134" i="23"/>
  <c r="B134" i="23"/>
  <c r="C134" i="23"/>
  <c r="D134" i="23"/>
  <c r="E134" i="23"/>
  <c r="F134" i="23"/>
  <c r="A135" i="23"/>
  <c r="B135" i="23"/>
  <c r="C135" i="23"/>
  <c r="D135" i="23"/>
  <c r="E135" i="23"/>
  <c r="F135" i="23"/>
  <c r="A136" i="23"/>
  <c r="B136" i="23"/>
  <c r="C136" i="23"/>
  <c r="D136" i="23"/>
  <c r="E136" i="23"/>
  <c r="F136" i="23"/>
  <c r="A137" i="23"/>
  <c r="B137" i="23"/>
  <c r="C137" i="23"/>
  <c r="D137" i="23"/>
  <c r="E137" i="23"/>
  <c r="F137" i="23"/>
  <c r="A138" i="23"/>
  <c r="B138" i="23"/>
  <c r="C138" i="23"/>
  <c r="D138" i="23"/>
  <c r="E138" i="23"/>
  <c r="F138" i="23"/>
  <c r="A139" i="23"/>
  <c r="B139" i="23"/>
  <c r="C139" i="23"/>
  <c r="D139" i="23"/>
  <c r="E139" i="23"/>
  <c r="F139" i="23"/>
  <c r="A140" i="23"/>
  <c r="B140" i="23"/>
  <c r="C140" i="23"/>
  <c r="D140" i="23"/>
  <c r="E140" i="23"/>
  <c r="F140" i="23"/>
  <c r="A141" i="23"/>
  <c r="B141" i="23"/>
  <c r="C141" i="23"/>
  <c r="D141" i="23"/>
  <c r="E141" i="23"/>
  <c r="F141" i="23"/>
  <c r="A142" i="23"/>
  <c r="B142" i="23"/>
  <c r="C142" i="23"/>
  <c r="D142" i="23"/>
  <c r="E142" i="23"/>
  <c r="F142" i="23"/>
  <c r="A143" i="23"/>
  <c r="B143" i="23"/>
  <c r="C143" i="23"/>
  <c r="D143" i="23"/>
  <c r="E143" i="23"/>
  <c r="F143" i="23"/>
  <c r="A144" i="23"/>
  <c r="B144" i="23"/>
  <c r="C144" i="23"/>
  <c r="D144" i="23"/>
  <c r="E144" i="23"/>
  <c r="F144" i="23"/>
  <c r="A145" i="23"/>
  <c r="B145" i="23"/>
  <c r="C145" i="23"/>
  <c r="D145" i="23"/>
  <c r="E145" i="23"/>
  <c r="F145" i="23"/>
  <c r="A146" i="23"/>
  <c r="B146" i="23"/>
  <c r="C146" i="23"/>
  <c r="D146" i="23"/>
  <c r="E146" i="23"/>
  <c r="F146" i="23"/>
  <c r="A147" i="23"/>
  <c r="B147" i="23"/>
  <c r="C147" i="23"/>
  <c r="D147" i="23"/>
  <c r="E147" i="23"/>
  <c r="F147" i="23"/>
  <c r="A148" i="23"/>
  <c r="B148" i="23"/>
  <c r="C148" i="23"/>
  <c r="D148" i="23"/>
  <c r="E148" i="23"/>
  <c r="F148" i="23"/>
  <c r="A149" i="23"/>
  <c r="B149" i="23"/>
  <c r="C149" i="23"/>
  <c r="D149" i="23"/>
  <c r="E149" i="23"/>
  <c r="F149" i="23"/>
  <c r="A150" i="23"/>
  <c r="B150" i="23"/>
  <c r="C150" i="23"/>
  <c r="D150" i="23"/>
  <c r="E150" i="23"/>
  <c r="F150" i="23"/>
  <c r="A151" i="23"/>
  <c r="B151" i="23"/>
  <c r="C151" i="23"/>
  <c r="D151" i="23"/>
  <c r="E151" i="23"/>
  <c r="F151" i="23"/>
  <c r="A152" i="23"/>
  <c r="B152" i="23"/>
  <c r="C152" i="23"/>
  <c r="D152" i="23"/>
  <c r="E152" i="23"/>
  <c r="F152" i="23"/>
  <c r="A153" i="23"/>
  <c r="B153" i="23"/>
  <c r="C153" i="23"/>
  <c r="D153" i="23"/>
  <c r="E153" i="23"/>
  <c r="F153" i="23"/>
  <c r="A154" i="23"/>
  <c r="B154" i="23"/>
  <c r="C154" i="23"/>
  <c r="D154" i="23"/>
  <c r="E154" i="23"/>
  <c r="F154" i="23"/>
  <c r="A155" i="23"/>
  <c r="B155" i="23"/>
  <c r="C155" i="23"/>
  <c r="D155" i="23"/>
  <c r="E155" i="23"/>
  <c r="F155" i="23"/>
  <c r="A156" i="23"/>
  <c r="B156" i="23"/>
  <c r="C156" i="23"/>
  <c r="D156" i="23"/>
  <c r="E156" i="23"/>
  <c r="F156" i="23"/>
  <c r="A157" i="23"/>
  <c r="B157" i="23"/>
  <c r="C157" i="23"/>
  <c r="D157" i="23"/>
  <c r="E157" i="23"/>
  <c r="F157" i="23"/>
  <c r="A158" i="23"/>
  <c r="B158" i="23"/>
  <c r="C158" i="23"/>
  <c r="D158" i="23"/>
  <c r="E158" i="23"/>
  <c r="F158" i="23"/>
  <c r="A159" i="23"/>
  <c r="B159" i="23"/>
  <c r="C159" i="23"/>
  <c r="D159" i="23"/>
  <c r="E159" i="23"/>
  <c r="F159" i="23"/>
  <c r="A160" i="23"/>
  <c r="B160" i="23"/>
  <c r="C160" i="23"/>
  <c r="D160" i="23"/>
  <c r="E160" i="23"/>
  <c r="F160" i="23"/>
  <c r="A161" i="23"/>
  <c r="B161" i="23"/>
  <c r="C161" i="23"/>
  <c r="D161" i="23"/>
  <c r="E161" i="23"/>
  <c r="F161" i="23"/>
  <c r="A162" i="23"/>
  <c r="B162" i="23"/>
  <c r="C162" i="23"/>
  <c r="D162" i="23"/>
  <c r="E162" i="23"/>
  <c r="F162" i="23"/>
  <c r="A163" i="23"/>
  <c r="B163" i="23"/>
  <c r="C163" i="23"/>
  <c r="D163" i="23"/>
  <c r="E163" i="23"/>
  <c r="F163" i="23"/>
  <c r="A164" i="23"/>
  <c r="B164" i="23"/>
  <c r="C164" i="23"/>
  <c r="D164" i="23"/>
  <c r="E164" i="23"/>
  <c r="F164" i="23"/>
  <c r="A165" i="23"/>
  <c r="B165" i="23"/>
  <c r="C165" i="23"/>
  <c r="D165" i="23"/>
  <c r="E165" i="23"/>
  <c r="F165" i="23"/>
  <c r="A166" i="23"/>
  <c r="B166" i="23"/>
  <c r="C166" i="23"/>
  <c r="D166" i="23"/>
  <c r="E166" i="23"/>
  <c r="F166" i="23"/>
  <c r="A167" i="23"/>
  <c r="B167" i="23"/>
  <c r="C167" i="23"/>
  <c r="D167" i="23"/>
  <c r="E167" i="23"/>
  <c r="F167" i="23"/>
  <c r="A168" i="23"/>
  <c r="B168" i="23"/>
  <c r="C168" i="23"/>
  <c r="D168" i="23"/>
  <c r="E168" i="23"/>
  <c r="F168" i="23"/>
  <c r="A169" i="23"/>
  <c r="B169" i="23"/>
  <c r="C169" i="23"/>
  <c r="D169" i="23"/>
  <c r="E169" i="23"/>
  <c r="F169" i="23"/>
  <c r="A170" i="23"/>
  <c r="B170" i="23"/>
  <c r="C170" i="23"/>
  <c r="D170" i="23"/>
  <c r="E170" i="23"/>
  <c r="F170" i="23"/>
  <c r="A171" i="23"/>
  <c r="B171" i="23"/>
  <c r="C171" i="23"/>
  <c r="D171" i="23"/>
  <c r="E171" i="23"/>
  <c r="F171" i="23"/>
  <c r="A172" i="23"/>
  <c r="B172" i="23"/>
  <c r="C172" i="23"/>
  <c r="D172" i="23"/>
  <c r="E172" i="23"/>
  <c r="F172" i="23"/>
  <c r="A173" i="23"/>
  <c r="B173" i="23"/>
  <c r="C173" i="23"/>
  <c r="D173" i="23"/>
  <c r="E173" i="23"/>
  <c r="F173" i="23"/>
  <c r="A174" i="23"/>
  <c r="B174" i="23"/>
  <c r="C174" i="23"/>
  <c r="D174" i="23"/>
  <c r="E174" i="23"/>
  <c r="F174" i="23"/>
  <c r="A175" i="23"/>
  <c r="B175" i="23"/>
  <c r="C175" i="23"/>
  <c r="D175" i="23"/>
  <c r="E175" i="23"/>
  <c r="F175" i="23"/>
  <c r="A176" i="23"/>
  <c r="B176" i="23"/>
  <c r="C176" i="23"/>
  <c r="D176" i="23"/>
  <c r="E176" i="23"/>
  <c r="F176" i="23"/>
  <c r="A177" i="23"/>
  <c r="B177" i="23"/>
  <c r="C177" i="23"/>
  <c r="D177" i="23"/>
  <c r="E177" i="23"/>
  <c r="F177" i="23"/>
  <c r="A178" i="23"/>
  <c r="B178" i="23"/>
  <c r="C178" i="23"/>
  <c r="D178" i="23"/>
  <c r="E178" i="23"/>
  <c r="F178" i="23"/>
  <c r="A179" i="23"/>
  <c r="B179" i="23"/>
  <c r="C179" i="23"/>
  <c r="D179" i="23"/>
  <c r="E179" i="23"/>
  <c r="F179" i="23"/>
  <c r="A180" i="23"/>
  <c r="B180" i="23"/>
  <c r="C180" i="23"/>
  <c r="D180" i="23"/>
  <c r="E180" i="23"/>
  <c r="F180" i="23"/>
  <c r="A181" i="23"/>
  <c r="B181" i="23"/>
  <c r="C181" i="23"/>
  <c r="D181" i="23"/>
  <c r="E181" i="23"/>
  <c r="F181" i="23"/>
  <c r="A182" i="23"/>
  <c r="B182" i="23"/>
  <c r="C182" i="23"/>
  <c r="D182" i="23"/>
  <c r="E182" i="23"/>
  <c r="F182" i="23"/>
  <c r="A183" i="23"/>
  <c r="B183" i="23"/>
  <c r="C183" i="23"/>
  <c r="D183" i="23"/>
  <c r="E183" i="23"/>
  <c r="F183" i="23"/>
  <c r="A184" i="23"/>
  <c r="B184" i="23"/>
  <c r="C184" i="23"/>
  <c r="D184" i="23"/>
  <c r="E184" i="23"/>
  <c r="F184" i="23"/>
  <c r="A185" i="23"/>
  <c r="B185" i="23"/>
  <c r="C185" i="23"/>
  <c r="D185" i="23"/>
  <c r="E185" i="23"/>
  <c r="F185" i="23"/>
  <c r="A186" i="23"/>
  <c r="B186" i="23"/>
  <c r="C186" i="23"/>
  <c r="D186" i="23"/>
  <c r="E186" i="23"/>
  <c r="F186" i="23"/>
  <c r="A187" i="23"/>
  <c r="B187" i="23"/>
  <c r="C187" i="23"/>
  <c r="D187" i="23"/>
  <c r="E187" i="23"/>
  <c r="F187" i="23"/>
  <c r="A188" i="23"/>
  <c r="B188" i="23"/>
  <c r="C188" i="23"/>
  <c r="D188" i="23"/>
  <c r="E188" i="23"/>
  <c r="F188" i="23"/>
  <c r="A189" i="23"/>
  <c r="B189" i="23"/>
  <c r="C189" i="23"/>
  <c r="D189" i="23"/>
  <c r="E189" i="23"/>
  <c r="F189" i="23"/>
  <c r="A190" i="23"/>
  <c r="B190" i="23"/>
  <c r="C190" i="23"/>
  <c r="D190" i="23"/>
  <c r="E190" i="23"/>
  <c r="F190" i="23"/>
  <c r="A191" i="23"/>
  <c r="B191" i="23"/>
  <c r="C191" i="23"/>
  <c r="D191" i="23"/>
  <c r="E191" i="23"/>
  <c r="F191" i="23"/>
  <c r="A192" i="23"/>
  <c r="B192" i="23"/>
  <c r="C192" i="23"/>
  <c r="D192" i="23"/>
  <c r="E192" i="23"/>
  <c r="F192" i="23"/>
  <c r="A193" i="23"/>
  <c r="B193" i="23"/>
  <c r="C193" i="23"/>
  <c r="D193" i="23"/>
  <c r="E193" i="23"/>
  <c r="F193" i="23"/>
  <c r="A194" i="23"/>
  <c r="B194" i="23"/>
  <c r="C194" i="23"/>
  <c r="D194" i="23"/>
  <c r="E194" i="23"/>
  <c r="F194" i="23"/>
  <c r="A195" i="23"/>
  <c r="B195" i="23"/>
  <c r="C195" i="23"/>
  <c r="D195" i="23"/>
  <c r="E195" i="23"/>
  <c r="F195" i="23"/>
  <c r="A196" i="23"/>
  <c r="B196" i="23"/>
  <c r="C196" i="23"/>
  <c r="D196" i="23"/>
  <c r="E196" i="23"/>
  <c r="F196" i="23"/>
  <c r="A197" i="23"/>
  <c r="B197" i="23"/>
  <c r="C197" i="23"/>
  <c r="D197" i="23"/>
  <c r="E197" i="23"/>
  <c r="F197" i="23"/>
  <c r="A198" i="23"/>
  <c r="B198" i="23"/>
  <c r="C198" i="23"/>
  <c r="D198" i="23"/>
  <c r="E198" i="23"/>
  <c r="F198" i="23"/>
  <c r="A199" i="23"/>
  <c r="B199" i="23"/>
  <c r="C199" i="23"/>
  <c r="D199" i="23"/>
  <c r="E199" i="23"/>
  <c r="F199" i="23"/>
  <c r="A200" i="23"/>
  <c r="B200" i="23"/>
  <c r="C200" i="23"/>
  <c r="D200" i="23"/>
  <c r="E200" i="23"/>
  <c r="F200" i="23"/>
  <c r="A201" i="23"/>
  <c r="B201" i="23"/>
  <c r="C201" i="23"/>
  <c r="D201" i="23"/>
  <c r="E201" i="23"/>
  <c r="F201" i="23"/>
  <c r="A202" i="23"/>
  <c r="B202" i="23"/>
  <c r="C202" i="23"/>
  <c r="D202" i="23"/>
  <c r="E202" i="23"/>
  <c r="F202" i="23"/>
  <c r="A203" i="23"/>
  <c r="B203" i="23"/>
  <c r="C203" i="23"/>
  <c r="D203" i="23"/>
  <c r="E203" i="23"/>
  <c r="F203" i="23"/>
  <c r="A204" i="23"/>
  <c r="B204" i="23"/>
  <c r="C204" i="23"/>
  <c r="D204" i="23"/>
  <c r="E204" i="23"/>
  <c r="F204" i="23"/>
  <c r="A205" i="23"/>
  <c r="B205" i="23"/>
  <c r="C205" i="23"/>
  <c r="D205" i="23"/>
  <c r="E205" i="23"/>
  <c r="F205" i="23"/>
  <c r="A206" i="23"/>
  <c r="B206" i="23"/>
  <c r="C206" i="23"/>
  <c r="D206" i="23"/>
  <c r="E206" i="23"/>
  <c r="F206" i="23"/>
  <c r="A207" i="23"/>
  <c r="B207" i="23"/>
  <c r="C207" i="23"/>
  <c r="D207" i="23"/>
  <c r="E207" i="23"/>
  <c r="F207" i="23"/>
  <c r="A208" i="23"/>
  <c r="B208" i="23"/>
  <c r="C208" i="23"/>
  <c r="D208" i="23"/>
  <c r="E208" i="23"/>
  <c r="F208" i="23"/>
  <c r="A209" i="23"/>
  <c r="B209" i="23"/>
  <c r="C209" i="23"/>
  <c r="D209" i="23"/>
  <c r="E209" i="23"/>
  <c r="F209" i="23"/>
  <c r="A210" i="23"/>
  <c r="B210" i="23"/>
  <c r="C210" i="23"/>
  <c r="D210" i="23"/>
  <c r="E210" i="23"/>
  <c r="F210" i="23"/>
  <c r="A211" i="23"/>
  <c r="B211" i="23"/>
  <c r="C211" i="23"/>
  <c r="D211" i="23"/>
  <c r="E211" i="23"/>
  <c r="F211" i="23"/>
  <c r="A212" i="23"/>
  <c r="B212" i="23"/>
  <c r="C212" i="23"/>
  <c r="D212" i="23"/>
  <c r="E212" i="23"/>
  <c r="F212" i="23"/>
  <c r="A213" i="23"/>
  <c r="B213" i="23"/>
  <c r="C213" i="23"/>
  <c r="D213" i="23"/>
  <c r="E213" i="23"/>
  <c r="F213" i="23"/>
  <c r="A214" i="23"/>
  <c r="B214" i="23"/>
  <c r="C214" i="23"/>
  <c r="D214" i="23"/>
  <c r="E214" i="23"/>
  <c r="F214" i="23"/>
  <c r="A215" i="23"/>
  <c r="B215" i="23"/>
  <c r="C215" i="23"/>
  <c r="D215" i="23"/>
  <c r="E215" i="23"/>
  <c r="F215" i="23"/>
  <c r="A216" i="23"/>
  <c r="B216" i="23"/>
  <c r="C216" i="23"/>
  <c r="D216" i="23"/>
  <c r="E216" i="23"/>
  <c r="F216" i="23"/>
  <c r="A217" i="23"/>
  <c r="B217" i="23"/>
  <c r="C217" i="23"/>
  <c r="D217" i="23"/>
  <c r="E217" i="23"/>
  <c r="F217" i="23"/>
  <c r="A218" i="23"/>
  <c r="B218" i="23"/>
  <c r="C218" i="23"/>
  <c r="D218" i="23"/>
  <c r="E218" i="23"/>
  <c r="F218" i="23"/>
  <c r="A219" i="23"/>
  <c r="B219" i="23"/>
  <c r="C219" i="23"/>
  <c r="D219" i="23"/>
  <c r="E219" i="23"/>
  <c r="F219" i="23"/>
  <c r="A220" i="23"/>
  <c r="B220" i="23"/>
  <c r="C220" i="23"/>
  <c r="D220" i="23"/>
  <c r="E220" i="23"/>
  <c r="F220" i="23"/>
  <c r="A221" i="23"/>
  <c r="B221" i="23"/>
  <c r="C221" i="23"/>
  <c r="D221" i="23"/>
  <c r="E221" i="23"/>
  <c r="F221" i="23"/>
  <c r="A222" i="23"/>
  <c r="B222" i="23"/>
  <c r="C222" i="23"/>
  <c r="D222" i="23"/>
  <c r="E222" i="23"/>
  <c r="F222" i="23"/>
  <c r="A223" i="23"/>
  <c r="B223" i="23"/>
  <c r="C223" i="23"/>
  <c r="D223" i="23"/>
  <c r="E223" i="23"/>
  <c r="F223" i="23"/>
  <c r="A224" i="23"/>
  <c r="B224" i="23"/>
  <c r="C224" i="23"/>
  <c r="D224" i="23"/>
  <c r="E224" i="23"/>
  <c r="F224" i="23"/>
  <c r="A225" i="23"/>
  <c r="B225" i="23"/>
  <c r="C225" i="23"/>
  <c r="D225" i="23"/>
  <c r="E225" i="23"/>
  <c r="F225" i="23"/>
  <c r="A226" i="23"/>
  <c r="B226" i="23"/>
  <c r="C226" i="23"/>
  <c r="D226" i="23"/>
  <c r="E226" i="23"/>
  <c r="F226" i="23"/>
  <c r="A227" i="23"/>
  <c r="B227" i="23"/>
  <c r="C227" i="23"/>
  <c r="D227" i="23"/>
  <c r="E227" i="23"/>
  <c r="F227" i="23"/>
  <c r="A228" i="23"/>
  <c r="B228" i="23"/>
  <c r="C228" i="23"/>
  <c r="D228" i="23"/>
  <c r="E228" i="23"/>
  <c r="F228" i="23"/>
  <c r="A229" i="23"/>
  <c r="B229" i="23"/>
  <c r="C229" i="23"/>
  <c r="D229" i="23"/>
  <c r="E229" i="23"/>
  <c r="F229" i="23"/>
  <c r="A230" i="23"/>
  <c r="B230" i="23"/>
  <c r="C230" i="23"/>
  <c r="D230" i="23"/>
  <c r="E230" i="23"/>
  <c r="F230" i="23"/>
  <c r="A231" i="23"/>
  <c r="B231" i="23"/>
  <c r="C231" i="23"/>
  <c r="D231" i="23"/>
  <c r="E231" i="23"/>
  <c r="F231" i="23"/>
  <c r="A232" i="23"/>
  <c r="B232" i="23"/>
  <c r="C232" i="23"/>
  <c r="D232" i="23"/>
  <c r="E232" i="23"/>
  <c r="F232" i="23"/>
  <c r="A233" i="23"/>
  <c r="B233" i="23"/>
  <c r="C233" i="23"/>
  <c r="D233" i="23"/>
  <c r="E233" i="23"/>
  <c r="F233" i="23"/>
  <c r="A234" i="23"/>
  <c r="B234" i="23"/>
  <c r="C234" i="23"/>
  <c r="D234" i="23"/>
  <c r="E234" i="23"/>
  <c r="F234" i="23"/>
  <c r="A235" i="23"/>
  <c r="B235" i="23"/>
  <c r="C235" i="23"/>
  <c r="D235" i="23"/>
  <c r="E235" i="23"/>
  <c r="F235" i="23"/>
  <c r="A236" i="23"/>
  <c r="B236" i="23"/>
  <c r="C236" i="23"/>
  <c r="D236" i="23"/>
  <c r="E236" i="23"/>
  <c r="F236" i="23"/>
  <c r="A237" i="23"/>
  <c r="B237" i="23"/>
  <c r="C237" i="23"/>
  <c r="D237" i="23"/>
  <c r="E237" i="23"/>
  <c r="F237" i="23"/>
  <c r="A238" i="23"/>
  <c r="B238" i="23"/>
  <c r="C238" i="23"/>
  <c r="D238" i="23"/>
  <c r="E238" i="23"/>
  <c r="F238" i="23"/>
  <c r="A239" i="23"/>
  <c r="B239" i="23"/>
  <c r="C239" i="23"/>
  <c r="D239" i="23"/>
  <c r="E239" i="23"/>
  <c r="F239" i="23"/>
  <c r="A240" i="23"/>
  <c r="B240" i="23"/>
  <c r="C240" i="23"/>
  <c r="D240" i="23"/>
  <c r="E240" i="23"/>
  <c r="F240" i="23"/>
  <c r="A241" i="23"/>
  <c r="B241" i="23"/>
  <c r="C241" i="23"/>
  <c r="D241" i="23"/>
  <c r="E241" i="23"/>
  <c r="F241" i="23"/>
  <c r="A242" i="23"/>
  <c r="B242" i="23"/>
  <c r="C242" i="23"/>
  <c r="D242" i="23"/>
  <c r="E242" i="23"/>
  <c r="F242" i="23"/>
  <c r="A243" i="23"/>
  <c r="B243" i="23"/>
  <c r="C243" i="23"/>
  <c r="D243" i="23"/>
  <c r="E243" i="23"/>
  <c r="F243" i="23"/>
  <c r="A244" i="23"/>
  <c r="B244" i="23"/>
  <c r="C244" i="23"/>
  <c r="D244" i="23"/>
  <c r="E244" i="23"/>
  <c r="F244" i="23"/>
  <c r="A245" i="23"/>
  <c r="B245" i="23"/>
  <c r="C245" i="23"/>
  <c r="D245" i="23"/>
  <c r="E245" i="23"/>
  <c r="F245" i="23"/>
  <c r="A246" i="23"/>
  <c r="B246" i="23"/>
  <c r="C246" i="23"/>
  <c r="D246" i="23"/>
  <c r="E246" i="23"/>
  <c r="F246" i="23"/>
  <c r="A247" i="23"/>
  <c r="B247" i="23"/>
  <c r="C247" i="23"/>
  <c r="D247" i="23"/>
  <c r="E247" i="23"/>
  <c r="F247" i="23"/>
  <c r="A248" i="23"/>
  <c r="B248" i="23"/>
  <c r="C248" i="23"/>
  <c r="D248" i="23"/>
  <c r="E248" i="23"/>
  <c r="F248" i="23"/>
  <c r="A249" i="23"/>
  <c r="B249" i="23"/>
  <c r="C249" i="23"/>
  <c r="D249" i="23"/>
  <c r="E249" i="23"/>
  <c r="F249" i="23"/>
  <c r="A250" i="23"/>
  <c r="B250" i="23"/>
  <c r="C250" i="23"/>
  <c r="D250" i="23"/>
  <c r="E250" i="23"/>
  <c r="F250" i="23"/>
  <c r="A251" i="23"/>
  <c r="B251" i="23"/>
  <c r="C251" i="23"/>
  <c r="D251" i="23"/>
  <c r="E251" i="23"/>
  <c r="F251" i="23"/>
  <c r="A252" i="23"/>
  <c r="B252" i="23"/>
  <c r="C252" i="23"/>
  <c r="D252" i="23"/>
  <c r="E252" i="23"/>
  <c r="F252" i="23"/>
  <c r="B3" i="23"/>
  <c r="C3" i="23"/>
  <c r="D3" i="23"/>
  <c r="E3" i="23"/>
  <c r="F3" i="23"/>
  <c r="A3" i="23"/>
  <c r="L6" i="23" l="1"/>
  <c r="L8" i="23" s="1"/>
  <c r="N5" i="23"/>
  <c r="K5" i="23"/>
  <c r="M5" i="23"/>
  <c r="L7" i="23"/>
  <c r="J5" i="23"/>
  <c r="I13" i="23"/>
  <c r="L11" i="23" l="1"/>
  <c r="L9" i="23"/>
  <c r="L10" i="23"/>
  <c r="L12" i="23" s="1"/>
  <c r="K6" i="23"/>
  <c r="N6" i="23"/>
  <c r="M6" i="23"/>
  <c r="J6" i="23"/>
  <c r="L13" i="23" l="1"/>
  <c r="N7" i="23"/>
  <c r="K7" i="23"/>
  <c r="M7" i="23"/>
  <c r="J7" i="23"/>
  <c r="N8" i="23" l="1"/>
  <c r="M8" i="23"/>
  <c r="N9" i="23"/>
  <c r="K8" i="23"/>
  <c r="K9" i="23" s="1"/>
  <c r="J8" i="23"/>
  <c r="J9" i="23" s="1"/>
  <c r="N10" i="23" l="1"/>
  <c r="N11" i="23" s="1"/>
  <c r="N12" i="23" s="1"/>
  <c r="N13" i="23" s="1"/>
  <c r="K10" i="23"/>
  <c r="M9" i="23"/>
  <c r="M10" i="23"/>
  <c r="M11" i="23" s="1"/>
  <c r="K11" i="23"/>
  <c r="K12" i="23" s="1"/>
  <c r="K13" i="23" s="1"/>
  <c r="J10" i="23"/>
  <c r="J11" i="23"/>
  <c r="J12" i="23" s="1"/>
  <c r="M12" i="23" l="1"/>
  <c r="M13" i="23" s="1"/>
</calcChain>
</file>

<file path=xl/sharedStrings.xml><?xml version="1.0" encoding="utf-8"?>
<sst xmlns="http://schemas.openxmlformats.org/spreadsheetml/2006/main" count="6947" uniqueCount="290">
  <si>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</si>
  <si>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</si>
  <si>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</si>
  <si>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</si>
  <si>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</si>
  <si>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</si>
  <si>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</si>
  <si>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</si>
  <si>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</si>
  <si>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</si>
  <si>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</si>
  <si>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</si>
  <si>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</si>
  <si>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</si>
  <si>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</si>
  <si>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</si>
  <si>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</si>
  <si>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</si>
  <si>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</si>
  <si>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</si>
  <si>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</si>
  <si>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</si>
  <si>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</si>
  <si>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</si>
  <si>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</si>
  <si>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</si>
  <si>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</si>
  <si>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</si>
  <si>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</si>
  <si>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</si>
  <si>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</si>
  <si>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</si>
  <si>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</si>
  <si>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</si>
  <si>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</si>
  <si>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</si>
  <si>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</si>
  <si>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</si>
  <si>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</si>
  <si>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</si>
  <si>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</si>
  <si>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</si>
  <si>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</si>
  <si>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</si>
  <si>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</si>
  <si>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</si>
  <si>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</si>
  <si>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</si>
  <si>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</si>
  <si>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</si>
  <si>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</si>
  <si>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</si>
  <si>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</si>
  <si>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</si>
  <si>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</si>
  <si>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</si>
  <si>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</si>
  <si>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</si>
  <si>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</si>
  <si>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</si>
  <si>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</si>
  <si>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</si>
  <si>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</si>
  <si>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</si>
  <si>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</si>
  <si>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</si>
  <si>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</si>
  <si>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</si>
  <si>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</si>
  <si>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</si>
  <si>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</si>
  <si>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</si>
  <si>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</si>
  <si>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</si>
  <si>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</si>
  <si>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</si>
  <si>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</si>
  <si>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</si>
  <si>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</si>
  <si>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</si>
  <si>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</si>
  <si>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</si>
  <si>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</si>
  <si>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</si>
  <si>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</si>
  <si>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</si>
  <si>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</si>
  <si>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</si>
  <si>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</si>
  <si>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</si>
  <si>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</si>
  <si>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</si>
  <si>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</si>
  <si>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</si>
  <si>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</si>
  <si>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</si>
  <si>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</si>
  <si>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</si>
  <si>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</si>
  <si>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</si>
  <si>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</si>
  <si>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</si>
  <si>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</si>
  <si>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</si>
  <si>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</si>
  <si>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</si>
  <si>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</si>
  <si>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</si>
  <si>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</si>
  <si>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</si>
  <si>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</si>
  <si>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</si>
  <si>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</si>
  <si>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</si>
  <si>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</si>
  <si>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</si>
  <si>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</si>
  <si>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</si>
  <si>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</si>
  <si>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</si>
  <si>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</si>
  <si>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</si>
  <si>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</si>
  <si>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</si>
  <si>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</si>
  <si>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</si>
  <si>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</si>
  <si>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</si>
  <si>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</si>
  <si>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</si>
  <si>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</si>
  <si>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</si>
  <si>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</si>
  <si>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</si>
  <si>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</si>
  <si>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</si>
  <si>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</si>
  <si>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</si>
  <si>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</si>
  <si>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</si>
  <si>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</si>
  <si>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</si>
  <si>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</si>
  <si>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</si>
  <si>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</si>
  <si>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</si>
  <si>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</si>
  <si>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</si>
  <si>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</si>
  <si>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</si>
  <si>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</si>
  <si>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</si>
  <si>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</si>
  <si>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</si>
  <si>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</si>
  <si>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</si>
  <si>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</si>
  <si>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</si>
  <si>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</si>
  <si>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</si>
  <si>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</si>
  <si>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</si>
  <si>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</si>
  <si>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</si>
  <si>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</si>
  <si>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</si>
  <si>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</si>
  <si>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</si>
  <si>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</si>
  <si>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</si>
  <si>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</si>
  <si>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</si>
  <si>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</si>
  <si>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</si>
  <si>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</si>
  <si>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</si>
  <si>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</si>
  <si>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</si>
  <si>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</si>
  <si>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</si>
  <si>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</si>
  <si>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</si>
  <si>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</si>
  <si>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</si>
  <si>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</si>
  <si>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</si>
  <si>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</si>
  <si>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</si>
  <si>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</si>
  <si>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</si>
  <si>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</si>
  <si>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</si>
  <si>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</si>
  <si>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</si>
  <si>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</si>
  <si>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</si>
  <si>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</si>
  <si>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</si>
  <si>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</si>
  <si>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</si>
  <si>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</si>
  <si>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</si>
  <si>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</si>
  <si>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</si>
  <si>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</si>
  <si>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</si>
  <si>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</si>
  <si>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</si>
  <si>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</si>
  <si>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</si>
  <si>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</si>
  <si>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</si>
  <si>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</si>
  <si>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</si>
  <si>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</si>
  <si>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</si>
  <si>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</si>
  <si>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</si>
  <si>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</si>
  <si>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</si>
  <si>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</si>
  <si>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</si>
  <si>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</si>
  <si>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</si>
  <si>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</si>
  <si>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</si>
  <si>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</si>
  <si>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</si>
  <si>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</si>
  <si>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</si>
  <si>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</si>
  <si>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</si>
  <si>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</si>
  <si>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</si>
  <si>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</si>
  <si>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</si>
  <si>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</si>
  <si>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</si>
  <si>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</si>
  <si>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</si>
  <si>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</si>
  <si>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</si>
  <si>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</si>
  <si>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</si>
  <si>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</si>
  <si>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</si>
  <si>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</si>
  <si>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</si>
  <si>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</si>
  <si>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</si>
  <si>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ObjValue</t>
  </si>
  <si>
    <t>TotalWater_Current</t>
  </si>
  <si>
    <t>TotalWater_After</t>
  </si>
  <si>
    <t>InvestCost</t>
  </si>
  <si>
    <t>Shower</t>
  </si>
  <si>
    <t>Toilet</t>
  </si>
  <si>
    <t>Faucets</t>
  </si>
  <si>
    <t>Laundry</t>
  </si>
  <si>
    <t>Dishwasher</t>
  </si>
  <si>
    <t>Outdoor</t>
  </si>
  <si>
    <t>LowFlowShower</t>
  </si>
  <si>
    <t>LowFLowToilet</t>
  </si>
  <si>
    <t>AeratorFaucet</t>
  </si>
  <si>
    <t>HELaundry</t>
  </si>
  <si>
    <t>HEDishwasher</t>
  </si>
  <si>
    <t>ShortShowers</t>
  </si>
  <si>
    <t>LessShowers</t>
  </si>
  <si>
    <t>LessFaucet</t>
  </si>
  <si>
    <t>LessLaundry</t>
  </si>
  <si>
    <t>LessDishLoads</t>
  </si>
  <si>
    <t>Eps</t>
  </si>
  <si>
    <t>Faucet</t>
  </si>
  <si>
    <t>Savings Percent</t>
  </si>
  <si>
    <t>Average Savings</t>
  </si>
  <si>
    <t>After</t>
  </si>
  <si>
    <t>Before</t>
  </si>
  <si>
    <t>End Use</t>
  </si>
  <si>
    <t>Times chosen</t>
  </si>
  <si>
    <t>Action</t>
  </si>
  <si>
    <t>OutdoorReduction</t>
  </si>
  <si>
    <t>Bins</t>
  </si>
  <si>
    <t>1% - 10%</t>
  </si>
  <si>
    <t>11% - 20%</t>
  </si>
  <si>
    <t>21% - 30%</t>
  </si>
  <si>
    <t>31% - 40%</t>
  </si>
  <si>
    <t>41% - 50%</t>
  </si>
  <si>
    <t>51% - 60%</t>
  </si>
  <si>
    <t>61% - 70%</t>
  </si>
  <si>
    <t>71% - 80%</t>
  </si>
  <si>
    <t>81% - 90%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</si>
</sst>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quotePrefix="1"/>
    <xf numFmtId="164" fontId="0" fillId="0" borderId="0" xfId="1" applyNumberFormat="1" applyFont="1"/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Percent Savings</a:t>
            </a:r>
            <a:r>
              <a:rPr lang="en-US" baseline="0"/>
              <a:t> per End Use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'Savings Percent'!$I$2</c:f>
              <c:strCache>
                <c:ptCount val="1"/>
                <c:pt idx="0">
                  <c:v>Shower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Percent'!$I$3:$I$11</c:f>
              <c:numCache>
                <c:formatCode>0</c:formatCode>
                <c:ptCount val="9"/>
                <c:pt idx="0" formatCode="General">
                  <c:v>32</c:v>
                </c:pt>
                <c:pt idx="1">
                  <c:v>10</c:v>
                </c:pt>
                <c:pt idx="2">
                  <c:v>6</c:v>
                </c:pt>
                <c:pt idx="3">
                  <c:v>47</c:v>
                </c:pt>
                <c:pt idx="4">
                  <c:v>59</c:v>
                </c:pt>
                <c:pt idx="5">
                  <c:v>16</c:v>
                </c:pt>
                <c:pt idx="6">
                  <c:v>35</c:v>
                </c:pt>
                <c:pt idx="7">
                  <c:v>25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A-46C1-96C0-8BCFA9C5D891}"/>
            </c:ext>
          </c:extLst>
        </c:ser>
        <c:ser>
          <c:idx val="1"/>
          <c:order val="1"/>
          <c:tx>
            <c:strRef>
              <c:f>'Savings Percent'!$J$2</c:f>
              <c:strCache>
                <c:ptCount val="1"/>
                <c:pt idx="0">
                  <c:v>Toilet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Percent'!$J$3:$J$11</c:f>
              <c:numCache>
                <c:formatCode>0</c:formatCode>
                <c:ptCount val="9"/>
                <c:pt idx="0" formatCode="General">
                  <c:v>69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133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BA-46C1-96C0-8BCFA9C5D891}"/>
            </c:ext>
          </c:extLst>
        </c:ser>
        <c:ser>
          <c:idx val="2"/>
          <c:order val="2"/>
          <c:tx>
            <c:strRef>
              <c:f>'Savings Percent'!$K$2</c:f>
              <c:strCache>
                <c:ptCount val="1"/>
                <c:pt idx="0">
                  <c:v>Faucet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Percent'!$K$3:$K$11</c:f>
              <c:numCache>
                <c:formatCode>0</c:formatCode>
                <c:ptCount val="9"/>
                <c:pt idx="0" formatCode="General">
                  <c:v>37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137</c:v>
                </c:pt>
                <c:pt idx="5">
                  <c:v>0</c:v>
                </c:pt>
                <c:pt idx="6">
                  <c:v>58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BA-46C1-96C0-8BCFA9C5D891}"/>
            </c:ext>
          </c:extLst>
        </c:ser>
        <c:ser>
          <c:idx val="3"/>
          <c:order val="3"/>
          <c:tx>
            <c:strRef>
              <c:f>'Savings Percent'!$L$2</c:f>
              <c:strCache>
                <c:ptCount val="1"/>
                <c:pt idx="0">
                  <c:v>Laundry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Percent'!$L$3:$L$11</c:f>
              <c:numCache>
                <c:formatCode>0</c:formatCode>
                <c:ptCount val="9"/>
                <c:pt idx="0" formatCode="General">
                  <c:v>112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130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BA-46C1-96C0-8BCFA9C5D891}"/>
            </c:ext>
          </c:extLst>
        </c:ser>
        <c:ser>
          <c:idx val="4"/>
          <c:order val="4"/>
          <c:tx>
            <c:strRef>
              <c:f>'Savings Percent'!$M$2</c:f>
              <c:strCache>
                <c:ptCount val="1"/>
                <c:pt idx="0">
                  <c:v>Dishwasher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Percent'!$M$3:$M$11</c:f>
              <c:numCache>
                <c:formatCode>0</c:formatCode>
                <c:ptCount val="9"/>
                <c:pt idx="0" formatCode="General">
                  <c:v>100</c:v>
                </c:pt>
                <c:pt idx="1">
                  <c:v>29</c:v>
                </c:pt>
                <c:pt idx="2">
                  <c:v>0</c:v>
                </c:pt>
                <c:pt idx="3">
                  <c:v>0</c:v>
                </c:pt>
                <c:pt idx="4">
                  <c:v>121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BA-46C1-96C0-8BCFA9C5D891}"/>
            </c:ext>
          </c:extLst>
        </c:ser>
        <c:ser>
          <c:idx val="5"/>
          <c:order val="5"/>
          <c:tx>
            <c:strRef>
              <c:f>'Savings Percent'!$N$2</c:f>
              <c:strCache>
                <c:ptCount val="1"/>
                <c:pt idx="0">
                  <c:v>Outdoor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'Savings Percent'!$H$3:$H$11</c:f>
              <c:strCache>
                <c:ptCount val="9"/>
                <c:pt idx="0">
                  <c:v>0</c:v>
                </c:pt>
                <c:pt idx="1">
                  <c:v>1% - 10%</c:v>
                </c:pt>
                <c:pt idx="2">
                  <c:v>11% - 20%</c:v>
                </c:pt>
                <c:pt idx="3">
                  <c:v>21% - 30%</c:v>
                </c:pt>
                <c:pt idx="4">
                  <c:v>31% - 40%</c:v>
                </c:pt>
                <c:pt idx="5">
                  <c:v>41% - 50%</c:v>
                </c:pt>
                <c:pt idx="6">
                  <c:v>51% - 60%</c:v>
                </c:pt>
                <c:pt idx="7">
                  <c:v>61% - 70%</c:v>
                </c:pt>
                <c:pt idx="8">
                  <c:v>71% - 80%</c:v>
                </c:pt>
              </c:strCache>
            </c:strRef>
          </c:cat>
          <c:val>
            <c:numRef>
              <c:f>'Savings Percent'!$N$3:$N$11</c:f>
              <c:numCache>
                <c:formatCode>0</c:formatCode>
                <c:ptCount val="9"/>
                <c:pt idx="0" formatCode="General">
                  <c:v>124</c:v>
                </c:pt>
                <c:pt idx="1">
                  <c:v>3</c:v>
                </c:pt>
                <c:pt idx="2">
                  <c:v>11</c:v>
                </c:pt>
                <c:pt idx="3">
                  <c:v>27</c:v>
                </c:pt>
                <c:pt idx="4">
                  <c:v>25</c:v>
                </c:pt>
                <c:pt idx="5">
                  <c:v>21</c:v>
                </c:pt>
                <c:pt idx="6">
                  <c:v>16</c:v>
                </c:pt>
                <c:pt idx="7">
                  <c:v>23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BA-46C1-96C0-8BCFA9C5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2890831"/>
        <c:axId val="1462887951"/>
      </c:barChart>
      <c:catAx>
        <c:axId val="146289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</a:t>
                </a:r>
                <a:r>
                  <a:rPr lang="en-US" baseline="0"/>
                  <a:t> Savings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87951"/>
        <c:crosses val="autoZero"/>
        <c:auto val="1"/>
        <c:lblAlgn val="ctr"/>
        <c:lblOffset val="100"/>
        <c:tickLblSkip val="1"/>
        <c:tickMarkSkip val="2"/>
        <c:noMultiLvlLbl val="0"/>
      </c:catAx>
      <c:valAx>
        <c:axId val="146288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per End Use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89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Many Times Each</a:t>
            </a:r>
            <a:r>
              <a:rPr lang="en-US" baseline="0"/>
              <a:t> Action was Taken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Figures!$B$1</c:f>
              <c:strCache>
                <c:ptCount val="1"/>
                <c:pt idx="0">
                  <c:v>Times chosen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Figures!$A$2:$A$12</c:f>
              <c:strCache>
                <c:ptCount val="11"/>
                <c:pt idx="0">
                  <c:v>LowFlowShower</c:v>
                </c:pt>
                <c:pt idx="1">
                  <c:v>LowFLowToilet</c:v>
                </c:pt>
                <c:pt idx="2">
                  <c:v>AeratorFaucet</c:v>
                </c:pt>
                <c:pt idx="3">
                  <c:v>HELaundry</c:v>
                </c:pt>
                <c:pt idx="4">
                  <c:v>HEDishwasher</c:v>
                </c:pt>
                <c:pt idx="5">
                  <c:v>ShortShowers</c:v>
                </c:pt>
                <c:pt idx="6">
                  <c:v>LessShowers</c:v>
                </c:pt>
                <c:pt idx="7">
                  <c:v>LessFaucet</c:v>
                </c:pt>
                <c:pt idx="8">
                  <c:v>LessLaundry</c:v>
                </c:pt>
                <c:pt idx="9">
                  <c:v>LessDishLoads</c:v>
                </c:pt>
                <c:pt idx="10">
                  <c:v>OutdoorReduction</c:v>
                </c:pt>
              </c:strCache>
            </c:strRef>
          </c:cat>
          <c:val>
            <c:numRef>
              <c:f>Figures!$B$2:$B$12</c:f>
              <c:numCache>
                <c:formatCode>General</c:formatCode>
                <c:ptCount val="11"/>
                <c:pt idx="0">
                  <c:v>111</c:v>
                </c:pt>
                <c:pt idx="1">
                  <c:v>133</c:v>
                </c:pt>
                <c:pt idx="2">
                  <c:v>126</c:v>
                </c:pt>
                <c:pt idx="3">
                  <c:v>8</c:v>
                </c:pt>
                <c:pt idx="4">
                  <c:v>0</c:v>
                </c:pt>
                <c:pt idx="5">
                  <c:v>119</c:v>
                </c:pt>
                <c:pt idx="6">
                  <c:v>113</c:v>
                </c:pt>
                <c:pt idx="7">
                  <c:v>127</c:v>
                </c:pt>
                <c:pt idx="8">
                  <c:v>130</c:v>
                </c:pt>
                <c:pt idx="9">
                  <c:v>121</c:v>
                </c:pt>
                <c:pt idx="10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8-4598-AF1D-00E139167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355168"/>
        <c:axId val="1273364288"/>
      </c:barChart>
      <c:catAx>
        <c:axId val="1273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64288"/>
        <c:crosses val="autoZero"/>
        <c:auto val="1"/>
        <c:lblAlgn val="ctr"/>
        <c:lblOffset val="100"/>
        <c:noMultiLvlLbl val="0"/>
      </c:catAx>
      <c:valAx>
        <c:axId val="127336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actions used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5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Water</a:t>
            </a:r>
            <a:r>
              <a:rPr lang="en-US" baseline="0"/>
              <a:t> Savings Before and After Conservation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Figures!$B$18</c:f>
              <c:strCache>
                <c:ptCount val="1"/>
                <c:pt idx="0">
                  <c:v>Before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Figures!$A$19:$A$24</c:f>
              <c:strCache>
                <c:ptCount val="6"/>
                <c:pt idx="0">
                  <c:v>Shower</c:v>
                </c:pt>
                <c:pt idx="1">
                  <c:v>Toilet</c:v>
                </c:pt>
                <c:pt idx="2">
                  <c:v>Faucets</c:v>
                </c:pt>
                <c:pt idx="3">
                  <c:v>Laundry</c:v>
                </c:pt>
                <c:pt idx="4">
                  <c:v>Dishwasher</c:v>
                </c:pt>
                <c:pt idx="5">
                  <c:v>Outdoor</c:v>
                </c:pt>
              </c:strCache>
            </c:strRef>
          </c:cat>
          <c:val>
            <c:numRef>
              <c:f>Figures!$B$19:$B$24</c:f>
              <c:numCache>
                <c:formatCode>0</c:formatCode>
                <c:ptCount val="6"/>
                <c:pt idx="0">
                  <c:v>546187.82400000002</c:v>
                </c:pt>
                <c:pt idx="1">
                  <c:v>88826.4</c:v>
                </c:pt>
                <c:pt idx="2">
                  <c:v>91117.312000000005</c:v>
                </c:pt>
                <c:pt idx="3">
                  <c:v>76989.119999999995</c:v>
                </c:pt>
                <c:pt idx="4">
                  <c:v>17078.047999999999</c:v>
                </c:pt>
                <c:pt idx="5">
                  <c:v>623943.68190336006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2-49DE-BDAB-973BC4918380}"/>
            </c:ext>
          </c:extLst>
        </c:ser>
        <c:ser>
          <c:idx val="1"/>
          <c:order val="1"/>
          <c:tx>
            <c:strRef>
              <c:f>Figures!$C$18</c:f>
              <c:strCache>
                <c:ptCount val="1"/>
                <c:pt idx="0">
                  <c:v>After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Figures!$A$19:$A$24</c:f>
              <c:strCache>
                <c:ptCount val="6"/>
                <c:pt idx="0">
                  <c:v>Shower</c:v>
                </c:pt>
                <c:pt idx="1">
                  <c:v>Toilet</c:v>
                </c:pt>
                <c:pt idx="2">
                  <c:v>Faucets</c:v>
                </c:pt>
                <c:pt idx="3">
                  <c:v>Laundry</c:v>
                </c:pt>
                <c:pt idx="4">
                  <c:v>Dishwasher</c:v>
                </c:pt>
                <c:pt idx="5">
                  <c:v>Outdoor</c:v>
                </c:pt>
              </c:strCache>
            </c:strRef>
          </c:cat>
          <c:val>
            <c:numRef>
              <c:f>Figures!$C$19:$C$24</c:f>
              <c:numCache>
                <c:formatCode>0</c:formatCode>
                <c:ptCount val="6"/>
                <c:pt idx="0">
                  <c:v>329748.43200000015</c:v>
                </c:pt>
                <c:pt idx="1">
                  <c:v>70526.559999999998</c:v>
                </c:pt>
                <c:pt idx="2">
                  <c:v>61003.279999999992</c:v>
                </c:pt>
                <c:pt idx="3">
                  <c:v>58512.896000000001</c:v>
                </c:pt>
                <c:pt idx="4">
                  <c:v>13799.468800000002</c:v>
                </c:pt>
                <c:pt idx="5">
                  <c:v>491959.11004468036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2-49DE-BDAB-973BC491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3376288"/>
        <c:axId val="1273377248"/>
      </c:barChart>
      <c:catAx>
        <c:axId val="1273376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</a:t>
                </a:r>
                <a:r>
                  <a:rPr lang="en-US" baseline="0"/>
                  <a:t> Use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77248"/>
        <c:crosses val="autoZero"/>
        <c:auto val="1"/>
        <c:lblAlgn val="ctr"/>
        <c:lblOffset val="100"/>
        <c:noMultiLvlLbl val="0"/>
      </c:catAx>
      <c:valAx>
        <c:axId val="127337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10-year</a:t>
                </a:r>
                <a:r>
                  <a:rPr lang="en-US" baseline="0"/>
                  <a:t> Savings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Savings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Figures!$A$19:$A$24</c:f>
              <c:strCache>
                <c:ptCount val="6"/>
                <c:pt idx="0">
                  <c:v>Shower</c:v>
                </c:pt>
                <c:pt idx="1">
                  <c:v>Toilet</c:v>
                </c:pt>
                <c:pt idx="2">
                  <c:v>Faucets</c:v>
                </c:pt>
                <c:pt idx="3">
                  <c:v>Laundry</c:v>
                </c:pt>
                <c:pt idx="4">
                  <c:v>Dishwasher</c:v>
                </c:pt>
                <c:pt idx="5">
                  <c:v>Outdoor</c:v>
                </c:pt>
              </c:strCache>
            </c:strRef>
          </c:cat>
          <c:val>
            <c:numRef>
              <c:f>Figures!$D$19:$D$24</c:f>
              <c:numCache>
                <c:formatCode>0</c:formatCode>
                <c:ptCount val="6"/>
                <c:pt idx="0">
                  <c:v>248210.31192660544</c:v>
                </c:pt>
                <c:pt idx="1">
                  <c:v>25276.022099447513</c:v>
                </c:pt>
                <c:pt idx="2">
                  <c:v>35345.107981220652</c:v>
                </c:pt>
                <c:pt idx="3">
                  <c:v>33471.420289855072</c:v>
                </c:pt>
                <c:pt idx="4">
                  <c:v>5464.2986666666684</c:v>
                </c:pt>
                <c:pt idx="5">
                  <c:v>261874.15051325326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1-4610-8419-5E53A7A3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315808"/>
        <c:axId val="1273330208"/>
      </c:barChart>
      <c:catAx>
        <c:axId val="127331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30208"/>
        <c:crosses val="autoZero"/>
        <c:auto val="1"/>
        <c:lblAlgn val="ctr"/>
        <c:lblOffset val="100"/>
        <c:noMultiLvlLbl val="0"/>
      </c:catAx>
      <c:valAx>
        <c:axId val="12733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31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117474</xdr:colOff>
      <xdr:row>3</xdr:row>
      <xdr:rowOff>161925</xdr:rowOff>
    </xdr:from>
    <xdr:to>
      <xdr:col>19</xdr:col>
      <xdr:colOff>482599</xdr:colOff>
      <xdr:row>18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5D40D-A8C6-0A59-B2E6-391234F78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225425</xdr:colOff>
      <xdr:row>0</xdr:row>
      <xdr:rowOff>19050</xdr:rowOff>
    </xdr:from>
    <xdr:to>
      <xdr:col>10</xdr:col>
      <xdr:colOff>530225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F64D1-93C2-42E9-86B1-FAAC606FB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142875</xdr:colOff>
      <xdr:row>4</xdr:row>
      <xdr:rowOff>139700</xdr:rowOff>
    </xdr:from>
    <xdr:to>
      <xdr:col>18</xdr:col>
      <xdr:colOff>447675</xdr:colOff>
      <xdr:row>19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52AC8B-1296-4C42-9688-E8D8D5298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123825</xdr:colOff>
      <xdr:row>20</xdr:row>
      <xdr:rowOff>38100</xdr:rowOff>
    </xdr:from>
    <xdr:to>
      <xdr:col>12</xdr:col>
      <xdr:colOff>428625</xdr:colOff>
      <xdr:row>35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619F58-B2A0-4ACD-87CC-712F507039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A24A-0F65-432A-92D4-39A6498D5CB1}">
  <dimension ref="A1:N252"/>
  <sheetViews>
    <sheetView topLeftCell="D2" workbookViewId="0">
      <selection activeCell="U13" sqref="U13"/>
    </sheetView>
  </sheetViews>
  <sheetFormatPr defaultRowHeight="14.5" x14ac:dyDescent="0.35"/>
  <sheetData>
    <row r="1" spans="1:14" x14ac:dyDescent="0.35">
      <c r="A1" t="s">
        <v>272</v>
      </c>
    </row>
    <row r="2" spans="1:14" x14ac:dyDescent="0.35">
      <c r="A2" t="s">
        <v>254</v>
      </c>
      <c r="B2" t="s">
        <v>255</v>
      </c>
      <c r="C2" t="s">
        <v>271</v>
      </c>
      <c r="D2" t="s">
        <v>257</v>
      </c>
      <c r="E2" t="s">
        <v>258</v>
      </c>
      <c r="F2" t="s">
        <v>259</v>
      </c>
      <c r="H2" t="s">
        <v>280</v>
      </c>
      <c r="I2" t="s">
        <v>254</v>
      </c>
      <c r="J2" t="s">
        <v>255</v>
      </c>
      <c r="K2" t="s">
        <v>271</v>
      </c>
      <c r="L2" t="s">
        <v>257</v>
      </c>
      <c r="M2" t="s">
        <v>258</v>
      </c>
      <c r="N2" t="s">
        <v>259</v>
      </c>
    </row>
    <row r="3" spans="1:14" x14ac:dyDescent="0.35">
      <c r="A3" s="2">
        <f>MCWaterSavings!B2/MCWaterBefore!B2</f>
        <v>0.40000000000000008</v>
      </c>
      <c r="B3" s="2">
        <f>MCWaterSavings!C2/MCWaterBefore!C2</f>
        <v>0</v>
      </c>
      <c r="C3" s="2">
        <f>MCWaterSavings!D2/MCWaterBefore!D2</f>
        <v>0.59090909090909105</v>
      </c>
      <c r="D3" s="2">
        <f>MCWaterSavings!E2/MCWaterBefore!E2</f>
        <v>0</v>
      </c>
      <c r="E3" s="2">
        <f>MCWaterSavings!F2/MCWaterBefore!F2</f>
        <v>0</v>
      </c>
      <c r="F3" s="2">
        <f>MCWaterSavings!G2/MCWaterBefore!G2</f>
        <v>0.33208926505000003</v>
      </c>
      <c r="H3">
        <v>0</v>
      </c>
      <c r="I3">
        <f>COUNTIF(A3:A252,0)</f>
        <v>32</v>
      </c>
      <c r="J3">
        <f>COUNTIF(B3:B252,0)</f>
        <v>69</v>
      </c>
      <c r="K3">
        <f t="shared" ref="K3:N3" si="0">COUNTIF(C3:C252,0)</f>
        <v>37</v>
      </c>
      <c r="L3">
        <f t="shared" si="0"/>
        <v>112</v>
      </c>
      <c r="M3">
        <f t="shared" si="0"/>
        <v>100</v>
      </c>
      <c r="N3">
        <f t="shared" si="0"/>
        <v>124</v>
      </c>
    </row>
    <row r="4" spans="1:14" x14ac:dyDescent="0.35">
      <c r="A4" s="2">
        <f>MCWaterSavings!B3/MCWaterBefore!B3</f>
        <v>0.2857142857142857</v>
      </c>
      <c r="B4" s="2">
        <f>MCWaterSavings!C3/MCWaterBefore!C3</f>
        <v>0.38461538461538453</v>
      </c>
      <c r="C4" s="2">
        <f>MCWaterSavings!D3/MCWaterBefore!D3</f>
        <v>0</v>
      </c>
      <c r="D4" s="2">
        <f>MCWaterSavings!E3/MCWaterBefore!E3</f>
        <v>0</v>
      </c>
      <c r="E4" s="2">
        <f>MCWaterSavings!F3/MCWaterBefore!F3</f>
        <v>0</v>
      </c>
      <c r="F4" s="2">
        <f>MCWaterSavings!G3/MCWaterBefore!G3</f>
        <v>0</v>
      </c>
      <c r="H4" t="s">
        <v>281</v>
      </c>
      <c r="I4" s="3">
        <f>COUNTIF(A3:A252,"&lt;=0.1")-I3</f>
        <v>10</v>
      </c>
      <c r="J4" s="3">
        <f>COUNTIF(B3:B252,"&lt;=0.1")-J3</f>
        <v>48</v>
      </c>
      <c r="K4" s="3">
        <f t="shared" ref="K4:N4" si="1">COUNTIF(C3:C252,"&lt;=0.1")-K3</f>
        <v>18</v>
      </c>
      <c r="L4" s="3">
        <f t="shared" si="1"/>
        <v>0</v>
      </c>
      <c r="M4" s="3">
        <f t="shared" si="1"/>
        <v>29</v>
      </c>
      <c r="N4" s="3">
        <f t="shared" si="1"/>
        <v>3</v>
      </c>
    </row>
    <row r="5" spans="1:14" x14ac:dyDescent="0.35">
      <c r="A5" s="2">
        <f>MCWaterSavings!B4/MCWaterBefore!B4</f>
        <v>0.40000000000000008</v>
      </c>
      <c r="B5" s="2">
        <f>MCWaterSavings!C4/MCWaterBefore!C4</f>
        <v>1.4544933660209948E-16</v>
      </c>
      <c r="C5" s="2">
        <f>MCWaterSavings!D4/MCWaterBefore!D4</f>
        <v>0</v>
      </c>
      <c r="D5" s="2">
        <f>MCWaterSavings!E4/MCWaterBefore!E4</f>
        <v>0</v>
      </c>
      <c r="E5" s="2">
        <f>MCWaterSavings!F4/MCWaterBefore!F4</f>
        <v>0</v>
      </c>
      <c r="F5" s="2">
        <f>MCWaterSavings!G4/MCWaterBefore!G4</f>
        <v>0.34731186694999994</v>
      </c>
      <c r="H5" t="s">
        <v>282</v>
      </c>
      <c r="I5" s="3">
        <f>COUNTIF(A3:A253,"&lt;=0.2")-I4-I3</f>
        <v>6</v>
      </c>
      <c r="J5" s="3">
        <f>COUNTIF(B3:B253,"&lt;=0.2")-J4-J3</f>
        <v>0</v>
      </c>
      <c r="K5" s="3">
        <f t="shared" ref="K5:N5" si="2">COUNTIF(C3:C253,"&lt;=0.2")-K4-K3</f>
        <v>0</v>
      </c>
      <c r="L5" s="3">
        <f t="shared" si="2"/>
        <v>0</v>
      </c>
      <c r="M5" s="3">
        <f t="shared" si="2"/>
        <v>0</v>
      </c>
      <c r="N5" s="3">
        <f t="shared" si="2"/>
        <v>11</v>
      </c>
    </row>
    <row r="6" spans="1:14" x14ac:dyDescent="0.35">
      <c r="A6" s="2">
        <f>MCWaterSavings!B5/MCWaterBefore!B5</f>
        <v>0.48739495798319327</v>
      </c>
      <c r="B6" s="2">
        <f>MCWaterSavings!C5/MCWaterBefore!C5</f>
        <v>0.38461538461538469</v>
      </c>
      <c r="C6" s="2">
        <f>MCWaterSavings!D5/MCWaterBefore!D5</f>
        <v>0.40000000000000008</v>
      </c>
      <c r="D6" s="2">
        <f>MCWaterSavings!E5/MCWaterBefore!E5</f>
        <v>0</v>
      </c>
      <c r="E6" s="2">
        <f>MCWaterSavings!F5/MCWaterBefore!F5</f>
        <v>0</v>
      </c>
      <c r="F6" s="2">
        <f>MCWaterSavings!G5/MCWaterBefore!G5</f>
        <v>0.26912974645000004</v>
      </c>
      <c r="H6" t="s">
        <v>283</v>
      </c>
      <c r="I6" s="3">
        <f>COUNTIF(A3:A253,"&lt;=0.3")-I4-I3-I5</f>
        <v>47</v>
      </c>
      <c r="J6" s="3">
        <f>COUNTIF(B3:B253,"&lt;=0.3")-J4-J3-J5</f>
        <v>0</v>
      </c>
      <c r="K6" s="3">
        <f t="shared" ref="K6:N6" si="3">COUNTIF(C3:C253,"&lt;=0.3")-K4-K3-K5</f>
        <v>0</v>
      </c>
      <c r="L6" s="3">
        <f t="shared" si="3"/>
        <v>0</v>
      </c>
      <c r="M6" s="3">
        <f t="shared" si="3"/>
        <v>0</v>
      </c>
      <c r="N6" s="3">
        <f t="shared" si="3"/>
        <v>27</v>
      </c>
    </row>
    <row r="7" spans="1:14" x14ac:dyDescent="0.35">
      <c r="A7" s="2">
        <f>MCWaterSavings!B6/MCWaterBefore!B6</f>
        <v>0</v>
      </c>
      <c r="B7" s="2">
        <f>MCWaterSavings!C6/MCWaterBefore!C6</f>
        <v>0</v>
      </c>
      <c r="C7" s="2">
        <f>MCWaterSavings!D6/MCWaterBefore!D6</f>
        <v>0.4</v>
      </c>
      <c r="D7" s="2">
        <f>MCWaterSavings!E6/MCWaterBefore!E6</f>
        <v>0</v>
      </c>
      <c r="E7" s="2">
        <f>MCWaterSavings!F6/MCWaterBefore!F6</f>
        <v>0</v>
      </c>
      <c r="F7" s="2">
        <f>MCWaterSavings!G6/MCWaterBefore!G6</f>
        <v>0</v>
      </c>
      <c r="H7" t="s">
        <v>284</v>
      </c>
      <c r="I7" s="3">
        <f>COUNTIF(A3:A253,"&lt;=0.4")-I4-I3-I5-I6</f>
        <v>59</v>
      </c>
      <c r="J7" s="3">
        <f>COUNTIF(B3:B253,"&lt;=0.4")-J4-J3-J5-J6</f>
        <v>133</v>
      </c>
      <c r="K7" s="3">
        <f t="shared" ref="K7:N7" si="4">COUNTIF(C3:C253,"&lt;=0.4")-K4-K3-K5-K6</f>
        <v>137</v>
      </c>
      <c r="L7" s="3">
        <f t="shared" si="4"/>
        <v>130</v>
      </c>
      <c r="M7" s="3">
        <f t="shared" si="4"/>
        <v>121</v>
      </c>
      <c r="N7" s="3">
        <f t="shared" si="4"/>
        <v>25</v>
      </c>
    </row>
    <row r="8" spans="1:14" x14ac:dyDescent="0.35">
      <c r="A8" s="2">
        <f>MCWaterSavings!B7/MCWaterBefore!B7</f>
        <v>0.25714285714285706</v>
      </c>
      <c r="B8" s="2">
        <f>MCWaterSavings!C7/MCWaterBefore!C7</f>
        <v>0</v>
      </c>
      <c r="C8" s="2">
        <f>MCWaterSavings!D7/MCWaterBefore!D7</f>
        <v>0.4</v>
      </c>
      <c r="D8" s="2">
        <f>MCWaterSavings!E7/MCWaterBefore!E7</f>
        <v>0</v>
      </c>
      <c r="E8" s="2">
        <f>MCWaterSavings!F7/MCWaterBefore!F7</f>
        <v>0.40000000000000008</v>
      </c>
      <c r="F8" s="2">
        <f>MCWaterSavings!G7/MCWaterBefore!G7</f>
        <v>0</v>
      </c>
      <c r="H8" t="s">
        <v>285</v>
      </c>
      <c r="I8" s="3">
        <f>COUNTIF(A3:A253,"&lt;=0.5")-I4-I3-I5-I6-I7</f>
        <v>16</v>
      </c>
      <c r="J8" s="3">
        <f>COUNTIF(B3:B253,"&lt;=0.5")-J4-J3-J5-J6-J7</f>
        <v>0</v>
      </c>
      <c r="K8" s="3">
        <f t="shared" ref="K8:N8" si="5">COUNTIF(C3:C253,"&lt;=0.5")-K4-K3-K5-K6-K7</f>
        <v>0</v>
      </c>
      <c r="L8" s="3">
        <f t="shared" si="5"/>
        <v>0</v>
      </c>
      <c r="M8" s="3">
        <f t="shared" si="5"/>
        <v>0</v>
      </c>
      <c r="N8" s="3">
        <f t="shared" si="5"/>
        <v>21</v>
      </c>
    </row>
    <row r="9" spans="1:14" x14ac:dyDescent="0.35">
      <c r="A9" s="2">
        <f>MCWaterSavings!B8/MCWaterBefore!B8</f>
        <v>0.40000000000000008</v>
      </c>
      <c r="B9" s="2">
        <f>MCWaterSavings!C8/MCWaterBefore!C8</f>
        <v>0</v>
      </c>
      <c r="C9" s="2">
        <f>MCWaterSavings!D8/MCWaterBefore!D8</f>
        <v>0</v>
      </c>
      <c r="D9" s="2">
        <f>MCWaterSavings!E8/MCWaterBefore!E8</f>
        <v>0</v>
      </c>
      <c r="E9" s="2">
        <f>MCWaterSavings!F8/MCWaterBefore!F8</f>
        <v>-1.6384339790540954E-16</v>
      </c>
      <c r="F9" s="2">
        <f>MCWaterSavings!G8/MCWaterBefore!G8</f>
        <v>0</v>
      </c>
      <c r="H9" t="s">
        <v>286</v>
      </c>
      <c r="I9" s="3">
        <f>COUNTIF(A3:A253,"&lt;=0.6")-SUM(I3:I8)</f>
        <v>35</v>
      </c>
      <c r="J9" s="3">
        <f>COUNTIF(B3:B253,"&lt;=0.6")-SUM(J3:J8)</f>
        <v>0</v>
      </c>
      <c r="K9" s="3">
        <f t="shared" ref="K9:N9" si="6">COUNTIF(C3:C253,"&lt;=0.6")-SUM(K3:K8)</f>
        <v>58</v>
      </c>
      <c r="L9" s="3">
        <f t="shared" si="6"/>
        <v>8</v>
      </c>
      <c r="M9" s="3">
        <f t="shared" si="6"/>
        <v>0</v>
      </c>
      <c r="N9" s="3">
        <f t="shared" si="6"/>
        <v>16</v>
      </c>
    </row>
    <row r="10" spans="1:14" x14ac:dyDescent="0.35">
      <c r="A10" s="2">
        <f>MCWaterSavings!B9/MCWaterBefore!B9</f>
        <v>0.74285714285714288</v>
      </c>
      <c r="B10" s="2">
        <f>MCWaterSavings!C9/MCWaterBefore!C9</f>
        <v>0</v>
      </c>
      <c r="C10" s="2">
        <f>MCWaterSavings!D9/MCWaterBefore!D9</f>
        <v>0.59090909090909094</v>
      </c>
      <c r="D10" s="2">
        <f>MCWaterSavings!E9/MCWaterBefore!E9</f>
        <v>0</v>
      </c>
      <c r="E10" s="2">
        <f>MCWaterSavings!F9/MCWaterBefore!F9</f>
        <v>0.40000000000000008</v>
      </c>
      <c r="F10" s="2">
        <f>MCWaterSavings!G9/MCWaterBefore!G9</f>
        <v>0.65300979079999999</v>
      </c>
      <c r="H10" t="s">
        <v>287</v>
      </c>
      <c r="I10" s="3">
        <f>COUNTIF(A3:A253,"&lt;=0.7")-SUM(I3:I9)</f>
        <v>25</v>
      </c>
      <c r="J10" s="3">
        <f>COUNTIF(B3:B253,"&lt;=0.7")-SUM(J3:J9)</f>
        <v>0</v>
      </c>
      <c r="K10" s="3">
        <f t="shared" ref="K10:N10" si="7">COUNTIF(C3:C253,"&lt;=0.7")-SUM(K3:K9)</f>
        <v>0</v>
      </c>
      <c r="L10" s="3">
        <f t="shared" si="7"/>
        <v>0</v>
      </c>
      <c r="M10" s="3">
        <f t="shared" si="7"/>
        <v>0</v>
      </c>
      <c r="N10" s="3">
        <f t="shared" si="7"/>
        <v>23</v>
      </c>
    </row>
    <row r="11" spans="1:14" x14ac:dyDescent="0.35">
      <c r="A11" s="2">
        <f>MCWaterSavings!B10/MCWaterBefore!B10</f>
        <v>1.7306402202995635E-16</v>
      </c>
      <c r="B11" s="2">
        <f>MCWaterSavings!C10/MCWaterBefore!C10</f>
        <v>0</v>
      </c>
      <c r="C11" s="2">
        <f>MCWaterSavings!D10/MCWaterBefore!D10</f>
        <v>0.3181818181818184</v>
      </c>
      <c r="D11" s="2">
        <f>MCWaterSavings!E10/MCWaterBefore!E10</f>
        <v>0.40000000000000013</v>
      </c>
      <c r="E11" s="2">
        <f>MCWaterSavings!F10/MCWaterBefore!F10</f>
        <v>0.40000000000000008</v>
      </c>
      <c r="F11" s="2">
        <f>MCWaterSavings!G10/MCWaterBefore!G10</f>
        <v>0.43140532914999985</v>
      </c>
      <c r="H11" t="s">
        <v>288</v>
      </c>
      <c r="I11" s="3">
        <f>COUNTIF(A3:A253,"&lt;=0.8")-SUM(I3:I10)</f>
        <v>20</v>
      </c>
      <c r="J11" s="3">
        <f>COUNTIF(B3:B253,"&lt;=0.8")-SUM(J3:J10)</f>
        <v>0</v>
      </c>
      <c r="K11" s="3">
        <f t="shared" ref="K11:N11" si="8">COUNTIF(C3:C253,"&lt;=0.8")-SUM(K3:K10)</f>
        <v>0</v>
      </c>
      <c r="L11" s="3">
        <f t="shared" si="8"/>
        <v>0</v>
      </c>
      <c r="M11" s="3">
        <f t="shared" si="8"/>
        <v>0</v>
      </c>
      <c r="N11" s="3">
        <f t="shared" si="8"/>
        <v>0</v>
      </c>
    </row>
    <row r="12" spans="1:14" x14ac:dyDescent="0.35">
      <c r="A12" s="2">
        <f>MCWaterSavings!B11/MCWaterBefore!B11</f>
        <v>0.4</v>
      </c>
      <c r="B12" s="2">
        <f>MCWaterSavings!C11/MCWaterBefore!C11</f>
        <v>0.38461538461538469</v>
      </c>
      <c r="C12" s="2">
        <f>MCWaterSavings!D11/MCWaterBefore!D11</f>
        <v>0.4</v>
      </c>
      <c r="D12" s="2">
        <f>MCWaterSavings!E11/MCWaterBefore!E11</f>
        <v>0</v>
      </c>
      <c r="E12" s="2">
        <f>MCWaterSavings!F11/MCWaterBefore!F11</f>
        <v>0.4</v>
      </c>
      <c r="F12" s="2">
        <f>MCWaterSavings!G11/MCWaterBefore!G11</f>
        <v>0</v>
      </c>
      <c r="H12" t="s">
        <v>289</v>
      </c>
      <c r="I12" s="3">
        <f>COUNTIF(A3:A253,"&lt;=0.9")-SUM(I3:I11)</f>
        <v>0</v>
      </c>
      <c r="J12" s="3">
        <f>COUNTIF(B3:B253,"&lt;=0.9")-SUM(J3:J11)</f>
        <v>0</v>
      </c>
      <c r="K12" s="3">
        <f t="shared" ref="K12:N12" si="9">COUNTIF(C3:C253,"&lt;=0.9")-SUM(K3:K11)</f>
        <v>0</v>
      </c>
      <c r="L12" s="3">
        <f t="shared" si="9"/>
        <v>0</v>
      </c>
      <c r="M12" s="3">
        <f t="shared" si="9"/>
        <v>0</v>
      </c>
      <c r="N12" s="3">
        <f t="shared" si="9"/>
        <v>0</v>
      </c>
    </row>
    <row r="13" spans="1:14" x14ac:dyDescent="0.35">
      <c r="A13" s="2">
        <f>MCWaterSavings!B12/MCWaterBefore!B12</f>
        <v>0.4</v>
      </c>
      <c r="B13" s="2">
        <f>MCWaterSavings!C12/MCWaterBefore!C12</f>
        <v>0.38461538461538464</v>
      </c>
      <c r="C13" s="2">
        <f>MCWaterSavings!D12/MCWaterBefore!D12</f>
        <v>0.59090909090909094</v>
      </c>
      <c r="D13" s="2">
        <f>MCWaterSavings!E12/MCWaterBefore!E12</f>
        <v>0</v>
      </c>
      <c r="E13" s="2">
        <f>MCWaterSavings!F12/MCWaterBefore!F12</f>
        <v>0</v>
      </c>
      <c r="F13" s="2">
        <f>MCWaterSavings!G12/MCWaterBefore!G12</f>
        <v>0.63944798979999995</v>
      </c>
      <c r="I13">
        <f>SUM(I3:I12)</f>
        <v>250</v>
      </c>
      <c r="J13">
        <f>SUM(J3:J12)</f>
        <v>250</v>
      </c>
      <c r="K13">
        <f t="shared" ref="K13:N13" si="10">SUM(K3:K12)</f>
        <v>250</v>
      </c>
      <c r="L13">
        <f t="shared" si="10"/>
        <v>250</v>
      </c>
      <c r="M13">
        <f t="shared" si="10"/>
        <v>250</v>
      </c>
      <c r="N13">
        <f t="shared" si="10"/>
        <v>250</v>
      </c>
    </row>
    <row r="14" spans="1:14" x14ac:dyDescent="0.35">
      <c r="A14" s="2">
        <f>MCWaterSavings!B13/MCWaterBefore!B13</f>
        <v>0.73306122448979594</v>
      </c>
      <c r="B14" s="2">
        <f>MCWaterSavings!C13/MCWaterBefore!C13</f>
        <v>0.38461538461538453</v>
      </c>
      <c r="C14" s="2">
        <f>MCWaterSavings!D13/MCWaterBefore!D13</f>
        <v>0</v>
      </c>
      <c r="D14" s="2">
        <f>MCWaterSavings!E13/MCWaterBefore!E13</f>
        <v>0.4</v>
      </c>
      <c r="E14" s="2">
        <f>MCWaterSavings!F13/MCWaterBefore!F13</f>
        <v>0</v>
      </c>
      <c r="F14" s="2">
        <f>MCWaterSavings!G13/MCWaterBefore!G13</f>
        <v>0.2744631112999999</v>
      </c>
    </row>
    <row r="15" spans="1:14" x14ac:dyDescent="0.35">
      <c r="A15" s="2">
        <f>MCWaterSavings!B14/MCWaterBefore!B14</f>
        <v>0.69090909090909092</v>
      </c>
      <c r="B15" s="2">
        <f>MCWaterSavings!C14/MCWaterBefore!C14</f>
        <v>0.38461538461538453</v>
      </c>
      <c r="C15" s="2">
        <f>MCWaterSavings!D14/MCWaterBefore!D14</f>
        <v>0.59090909090909094</v>
      </c>
      <c r="D15" s="2">
        <f>MCWaterSavings!E14/MCWaterBefore!E14</f>
        <v>0.4</v>
      </c>
      <c r="E15" s="2">
        <f>MCWaterSavings!F14/MCWaterBefore!F14</f>
        <v>-1.6384339790540954E-16</v>
      </c>
      <c r="F15" s="2">
        <f>MCWaterSavings!G14/MCWaterBefore!G14</f>
        <v>0.59286901064999997</v>
      </c>
    </row>
    <row r="16" spans="1:14" x14ac:dyDescent="0.35">
      <c r="A16" s="2">
        <f>MCWaterSavings!B15/MCWaterBefore!B15</f>
        <v>0.4</v>
      </c>
      <c r="B16" s="2">
        <f>MCWaterSavings!C15/MCWaterBefore!C15</f>
        <v>-1.7644673620582567E-16</v>
      </c>
      <c r="C16" s="2">
        <f>MCWaterSavings!D15/MCWaterBefore!D15</f>
        <v>0.59090909090909094</v>
      </c>
      <c r="D16" s="2">
        <f>MCWaterSavings!E15/MCWaterBefore!E15</f>
        <v>0.4</v>
      </c>
      <c r="E16" s="2">
        <f>MCWaterSavings!F15/MCWaterBefore!F15</f>
        <v>0.3999999999999998</v>
      </c>
      <c r="F16" s="2">
        <f>MCWaterSavings!G15/MCWaterBefore!G15</f>
        <v>0</v>
      </c>
    </row>
    <row r="17" spans="1:6" x14ac:dyDescent="0.35">
      <c r="A17" s="2">
        <f>MCWaterSavings!B16/MCWaterBefore!B16</f>
        <v>0</v>
      </c>
      <c r="B17" s="2">
        <f>MCWaterSavings!C16/MCWaterBefore!C16</f>
        <v>0</v>
      </c>
      <c r="C17" s="2">
        <f>MCWaterSavings!D16/MCWaterBefore!D16</f>
        <v>1.6737112656844462E-16</v>
      </c>
      <c r="D17" s="2">
        <f>MCWaterSavings!E16/MCWaterBefore!E16</f>
        <v>0.4</v>
      </c>
      <c r="E17" s="2">
        <f>MCWaterSavings!F16/MCWaterBefore!F16</f>
        <v>0</v>
      </c>
      <c r="F17" s="2">
        <f>MCWaterSavings!G16/MCWaterBefore!G16</f>
        <v>0</v>
      </c>
    </row>
    <row r="18" spans="1:6" x14ac:dyDescent="0.35">
      <c r="A18" s="2">
        <f>MCWaterSavings!B17/MCWaterBefore!B17</f>
        <v>0</v>
      </c>
      <c r="B18" s="2">
        <f>MCWaterSavings!C17/MCWaterBefore!C17</f>
        <v>0</v>
      </c>
      <c r="C18" s="2">
        <f>MCWaterSavings!D17/MCWaterBefore!D17</f>
        <v>0.59090909090909094</v>
      </c>
      <c r="D18" s="2">
        <f>MCWaterSavings!E17/MCWaterBefore!E17</f>
        <v>0.4</v>
      </c>
      <c r="E18" s="2">
        <f>MCWaterSavings!F17/MCWaterBefore!F17</f>
        <v>-1.6384339790540954E-16</v>
      </c>
      <c r="F18" s="2">
        <f>MCWaterSavings!G17/MCWaterBefore!G17</f>
        <v>0.65476471539999992</v>
      </c>
    </row>
    <row r="19" spans="1:6" x14ac:dyDescent="0.35">
      <c r="A19" s="2">
        <f>MCWaterSavings!B18/MCWaterBefore!B18</f>
        <v>0.60799999999999998</v>
      </c>
      <c r="B19" s="2">
        <f>MCWaterSavings!C18/MCWaterBefore!C18</f>
        <v>0.38461538461538475</v>
      </c>
      <c r="C19" s="2">
        <f>MCWaterSavings!D18/MCWaterBefore!D18</f>
        <v>0.4</v>
      </c>
      <c r="D19" s="2">
        <f>MCWaterSavings!E18/MCWaterBefore!E18</f>
        <v>0</v>
      </c>
      <c r="E19" s="2">
        <f>MCWaterSavings!F18/MCWaterBefore!F18</f>
        <v>0</v>
      </c>
      <c r="F19" s="2">
        <f>MCWaterSavings!G18/MCWaterBefore!G18</f>
        <v>0.36410729559999999</v>
      </c>
    </row>
    <row r="20" spans="1:6" x14ac:dyDescent="0.35">
      <c r="A20" s="2">
        <f>MCWaterSavings!B19/MCWaterBefore!B19</f>
        <v>0.10285714285714299</v>
      </c>
      <c r="B20" s="2">
        <f>MCWaterSavings!C19/MCWaterBefore!C19</f>
        <v>-1.6307955922053584E-16</v>
      </c>
      <c r="C20" s="2">
        <f>MCWaterSavings!D19/MCWaterBefore!D19</f>
        <v>0</v>
      </c>
      <c r="D20" s="2">
        <f>MCWaterSavings!E19/MCWaterBefore!E19</f>
        <v>0.4</v>
      </c>
      <c r="E20" s="2">
        <f>MCWaterSavings!F19/MCWaterBefore!F19</f>
        <v>0.4</v>
      </c>
      <c r="F20" s="2">
        <f>MCWaterSavings!G19/MCWaterBefore!G19</f>
        <v>0.25500165939999997</v>
      </c>
    </row>
    <row r="21" spans="1:6" x14ac:dyDescent="0.35">
      <c r="A21" s="2">
        <f>MCWaterSavings!B20/MCWaterBefore!B20</f>
        <v>0.2857142857142857</v>
      </c>
      <c r="B21" s="2">
        <f>MCWaterSavings!C20/MCWaterBefore!C20</f>
        <v>0</v>
      </c>
      <c r="C21" s="2">
        <f>MCWaterSavings!D20/MCWaterBefore!D20</f>
        <v>2.2122096729046592E-16</v>
      </c>
      <c r="D21" s="2">
        <f>MCWaterSavings!E20/MCWaterBefore!E20</f>
        <v>0</v>
      </c>
      <c r="E21" s="2">
        <f>MCWaterSavings!F20/MCWaterBefore!F20</f>
        <v>0</v>
      </c>
      <c r="F21" s="2">
        <f>MCWaterSavings!G20/MCWaterBefore!G20</f>
        <v>0</v>
      </c>
    </row>
    <row r="22" spans="1:6" x14ac:dyDescent="0.35">
      <c r="A22" s="2">
        <f>MCWaterSavings!B21/MCWaterBefore!B21</f>
        <v>0.4</v>
      </c>
      <c r="B22" s="2">
        <f>MCWaterSavings!C21/MCWaterBefore!C21</f>
        <v>0.38461538461538464</v>
      </c>
      <c r="C22" s="2">
        <f>MCWaterSavings!D21/MCWaterBefore!D21</f>
        <v>0.31818181818181818</v>
      </c>
      <c r="D22" s="2">
        <f>MCWaterSavings!E21/MCWaterBefore!E21</f>
        <v>0</v>
      </c>
      <c r="E22" s="2">
        <f>MCWaterSavings!F21/MCWaterBefore!F21</f>
        <v>0</v>
      </c>
      <c r="F22" s="2">
        <f>MCWaterSavings!G21/MCWaterBefore!G21</f>
        <v>0</v>
      </c>
    </row>
    <row r="23" spans="1:6" x14ac:dyDescent="0.35">
      <c r="A23" s="2">
        <f>MCWaterSavings!B22/MCWaterBefore!B22</f>
        <v>0.74285714285714288</v>
      </c>
      <c r="B23" s="2">
        <f>MCWaterSavings!C22/MCWaterBefore!C22</f>
        <v>1.1450266923995066E-16</v>
      </c>
      <c r="C23" s="2">
        <f>MCWaterSavings!D22/MCWaterBefore!D22</f>
        <v>0.40000000000000008</v>
      </c>
      <c r="D23" s="2">
        <f>MCWaterSavings!E22/MCWaterBefore!E22</f>
        <v>0.4</v>
      </c>
      <c r="E23" s="2">
        <f>MCWaterSavings!F22/MCWaterBefore!F22</f>
        <v>0</v>
      </c>
      <c r="F23" s="2">
        <f>MCWaterSavings!G22/MCWaterBefore!G22</f>
        <v>0</v>
      </c>
    </row>
    <row r="24" spans="1:6" x14ac:dyDescent="0.35">
      <c r="A24" s="2">
        <f>MCWaterSavings!B23/MCWaterBefore!B23</f>
        <v>0.46666666666666673</v>
      </c>
      <c r="B24" s="2">
        <f>MCWaterSavings!C23/MCWaterBefore!C23</f>
        <v>0.38461538461538469</v>
      </c>
      <c r="C24" s="2">
        <f>MCWaterSavings!D23/MCWaterBefore!D23</f>
        <v>0.3181818181818184</v>
      </c>
      <c r="D24" s="2">
        <f>MCWaterSavings!E23/MCWaterBefore!E23</f>
        <v>0</v>
      </c>
      <c r="E24" s="2">
        <f>MCWaterSavings!F23/MCWaterBefore!F23</f>
        <v>0.40000000000000008</v>
      </c>
      <c r="F24" s="2">
        <f>MCWaterSavings!G23/MCWaterBefore!G23</f>
        <v>0</v>
      </c>
    </row>
    <row r="25" spans="1:6" x14ac:dyDescent="0.35">
      <c r="A25" s="2">
        <f>MCWaterSavings!B24/MCWaterBefore!B24</f>
        <v>0.28571428571428581</v>
      </c>
      <c r="B25" s="2">
        <f>MCWaterSavings!C24/MCWaterBefore!C24</f>
        <v>0.38461538461538464</v>
      </c>
      <c r="C25" s="2">
        <f>MCWaterSavings!D24/MCWaterBefore!D24</f>
        <v>0.31818181818181829</v>
      </c>
      <c r="D25" s="2">
        <f>MCWaterSavings!E24/MCWaterBefore!E24</f>
        <v>0.40000000000000013</v>
      </c>
      <c r="E25" s="2">
        <f>MCWaterSavings!F24/MCWaterBefore!F24</f>
        <v>0.40000000000000008</v>
      </c>
      <c r="F25" s="2">
        <f>MCWaterSavings!G24/MCWaterBefore!G24</f>
        <v>0.28283865375</v>
      </c>
    </row>
    <row r="26" spans="1:6" x14ac:dyDescent="0.35">
      <c r="A26" s="2">
        <f>MCWaterSavings!B25/MCWaterBefore!B25</f>
        <v>0.4</v>
      </c>
      <c r="B26" s="2">
        <f>MCWaterSavings!C25/MCWaterBefore!C25</f>
        <v>0</v>
      </c>
      <c r="C26" s="2">
        <f>MCWaterSavings!D25/MCWaterBefore!D25</f>
        <v>0.39999999999999997</v>
      </c>
      <c r="D26" s="2">
        <f>MCWaterSavings!E25/MCWaterBefore!E25</f>
        <v>0</v>
      </c>
      <c r="E26" s="2">
        <f>MCWaterSavings!F25/MCWaterBefore!F25</f>
        <v>0.40000000000000008</v>
      </c>
      <c r="F26" s="2">
        <f>MCWaterSavings!G25/MCWaterBefore!G25</f>
        <v>0.18552974810000003</v>
      </c>
    </row>
    <row r="27" spans="1:6" x14ac:dyDescent="0.35">
      <c r="A27" s="2">
        <f>MCWaterSavings!B26/MCWaterBefore!B26</f>
        <v>0.5714285714285714</v>
      </c>
      <c r="B27" s="2">
        <f>MCWaterSavings!C26/MCWaterBefore!C26</f>
        <v>1.3125915742140686E-16</v>
      </c>
      <c r="C27" s="2">
        <f>MCWaterSavings!D26/MCWaterBefore!D26</f>
        <v>0</v>
      </c>
      <c r="D27" s="2">
        <f>MCWaterSavings!E26/MCWaterBefore!E26</f>
        <v>0</v>
      </c>
      <c r="E27" s="2">
        <f>MCWaterSavings!F26/MCWaterBefore!F26</f>
        <v>0.40000000000000008</v>
      </c>
      <c r="F27" s="2">
        <f>MCWaterSavings!G26/MCWaterBefore!G26</f>
        <v>0</v>
      </c>
    </row>
    <row r="28" spans="1:6" x14ac:dyDescent="0.35">
      <c r="A28" s="2">
        <f>MCWaterSavings!B27/MCWaterBefore!B27</f>
        <v>0.40000000000000008</v>
      </c>
      <c r="B28" s="2">
        <f>MCWaterSavings!C27/MCWaterBefore!C27</f>
        <v>0.38461538461538453</v>
      </c>
      <c r="C28" s="2">
        <f>MCWaterSavings!D27/MCWaterBefore!D27</f>
        <v>1.200019398037905E-16</v>
      </c>
      <c r="D28" s="2">
        <f>MCWaterSavings!E27/MCWaterBefore!E27</f>
        <v>0.4</v>
      </c>
      <c r="E28" s="2">
        <f>MCWaterSavings!F27/MCWaterBefore!F27</f>
        <v>0.4</v>
      </c>
      <c r="F28" s="2">
        <f>MCWaterSavings!G27/MCWaterBefore!G27</f>
        <v>0</v>
      </c>
    </row>
    <row r="29" spans="1:6" x14ac:dyDescent="0.35">
      <c r="A29" s="2">
        <f>MCWaterSavings!B28/MCWaterBefore!B28</f>
        <v>0.4</v>
      </c>
      <c r="B29" s="2">
        <f>MCWaterSavings!C28/MCWaterBefore!C28</f>
        <v>0</v>
      </c>
      <c r="C29" s="2">
        <f>MCWaterSavings!D28/MCWaterBefore!D28</f>
        <v>0.40000000000000008</v>
      </c>
      <c r="D29" s="2">
        <f>MCWaterSavings!E28/MCWaterBefore!E28</f>
        <v>0.4</v>
      </c>
      <c r="E29" s="2">
        <f>MCWaterSavings!F28/MCWaterBefore!F28</f>
        <v>-1.6384339790540954E-16</v>
      </c>
      <c r="F29" s="2">
        <f>MCWaterSavings!G28/MCWaterBefore!G28</f>
        <v>0.32781886924999981</v>
      </c>
    </row>
    <row r="30" spans="1:6" x14ac:dyDescent="0.35">
      <c r="A30" s="2">
        <f>MCWaterSavings!B29/MCWaterBefore!B29</f>
        <v>0.19000000000000006</v>
      </c>
      <c r="B30" s="2">
        <f>MCWaterSavings!C29/MCWaterBefore!C29</f>
        <v>1.6064553594858749E-16</v>
      </c>
      <c r="C30" s="2">
        <f>MCWaterSavings!D29/MCWaterBefore!D29</f>
        <v>0.59090909090909105</v>
      </c>
      <c r="D30" s="2">
        <f>MCWaterSavings!E29/MCWaterBefore!E29</f>
        <v>0.4</v>
      </c>
      <c r="E30" s="2">
        <f>MCWaterSavings!F29/MCWaterBefore!F29</f>
        <v>0.4</v>
      </c>
      <c r="F30" s="2">
        <f>MCWaterSavings!G29/MCWaterBefore!G29</f>
        <v>0.26050481255000002</v>
      </c>
    </row>
    <row r="31" spans="1:6" x14ac:dyDescent="0.35">
      <c r="A31" s="2">
        <f>MCWaterSavings!B30/MCWaterBefore!B30</f>
        <v>0.71836734693877569</v>
      </c>
      <c r="B31" s="2">
        <f>MCWaterSavings!C30/MCWaterBefore!C30</f>
        <v>0</v>
      </c>
      <c r="C31" s="2">
        <f>MCWaterSavings!D30/MCWaterBefore!D30</f>
        <v>0.3181818181818184</v>
      </c>
      <c r="D31" s="2">
        <f>MCWaterSavings!E30/MCWaterBefore!E30</f>
        <v>0</v>
      </c>
      <c r="E31" s="2">
        <f>MCWaterSavings!F30/MCWaterBefore!F30</f>
        <v>0.40000000000000008</v>
      </c>
      <c r="F31" s="2">
        <f>MCWaterSavings!G30/MCWaterBefore!G30</f>
        <v>0</v>
      </c>
    </row>
    <row r="32" spans="1:6" x14ac:dyDescent="0.35">
      <c r="A32" s="2">
        <f>MCWaterSavings!B31/MCWaterBefore!B31</f>
        <v>0.4</v>
      </c>
      <c r="B32" s="2">
        <f>MCWaterSavings!C31/MCWaterBefore!C31</f>
        <v>1.2813393938756385E-16</v>
      </c>
      <c r="C32" s="2">
        <f>MCWaterSavings!D31/MCWaterBefore!D31</f>
        <v>0.40000000000000008</v>
      </c>
      <c r="D32" s="2">
        <f>MCWaterSavings!E31/MCWaterBefore!E31</f>
        <v>0</v>
      </c>
      <c r="E32" s="2">
        <f>MCWaterSavings!F31/MCWaterBefore!F31</f>
        <v>0</v>
      </c>
      <c r="F32" s="2">
        <f>MCWaterSavings!G31/MCWaterBefore!G31</f>
        <v>0.39381202779999991</v>
      </c>
    </row>
    <row r="33" spans="1:6" x14ac:dyDescent="0.35">
      <c r="A33" s="2">
        <f>MCWaterSavings!B32/MCWaterBefore!B32</f>
        <v>0.74285714285714299</v>
      </c>
      <c r="B33" s="2">
        <f>MCWaterSavings!C32/MCWaterBefore!C32</f>
        <v>1.1699185770168872E-16</v>
      </c>
      <c r="C33" s="2">
        <f>MCWaterSavings!D32/MCWaterBefore!D32</f>
        <v>0.40000000000000008</v>
      </c>
      <c r="D33" s="2">
        <f>MCWaterSavings!E32/MCWaterBefore!E32</f>
        <v>0.4</v>
      </c>
      <c r="E33" s="2">
        <f>MCWaterSavings!F32/MCWaterBefore!F32</f>
        <v>0</v>
      </c>
      <c r="F33" s="2">
        <f>MCWaterSavings!G32/MCWaterBefore!G32</f>
        <v>0</v>
      </c>
    </row>
    <row r="34" spans="1:6" x14ac:dyDescent="0.35">
      <c r="A34" s="2">
        <f>MCWaterSavings!B33/MCWaterBefore!B33</f>
        <v>0.5714285714285714</v>
      </c>
      <c r="B34" s="2">
        <f>MCWaterSavings!C33/MCWaterBefore!C33</f>
        <v>0.38461538461538464</v>
      </c>
      <c r="C34" s="2">
        <f>MCWaterSavings!D33/MCWaterBefore!D33</f>
        <v>0</v>
      </c>
      <c r="D34" s="2">
        <f>MCWaterSavings!E33/MCWaterBefore!E33</f>
        <v>0.4</v>
      </c>
      <c r="E34" s="2">
        <f>MCWaterSavings!F33/MCWaterBefore!F33</f>
        <v>0.3999999999999998</v>
      </c>
      <c r="F34" s="2">
        <f>MCWaterSavings!G33/MCWaterBefore!G33</f>
        <v>0</v>
      </c>
    </row>
    <row r="35" spans="1:6" x14ac:dyDescent="0.35">
      <c r="A35" s="2">
        <f>MCWaterSavings!B34/MCWaterBefore!B34</f>
        <v>0.2857142857142857</v>
      </c>
      <c r="B35" s="2">
        <f>MCWaterSavings!C34/MCWaterBefore!C34</f>
        <v>0.38461538461538464</v>
      </c>
      <c r="C35" s="2">
        <f>MCWaterSavings!D34/MCWaterBefore!D34</f>
        <v>0.31818181818181829</v>
      </c>
      <c r="D35" s="2">
        <f>MCWaterSavings!E34/MCWaterBefore!E34</f>
        <v>0</v>
      </c>
      <c r="E35" s="2">
        <f>MCWaterSavings!F34/MCWaterBefore!F34</f>
        <v>0</v>
      </c>
      <c r="F35" s="2">
        <f>MCWaterSavings!G34/MCWaterBefore!G34</f>
        <v>0.21820609124999985</v>
      </c>
    </row>
    <row r="36" spans="1:6" x14ac:dyDescent="0.35">
      <c r="A36" s="2">
        <f>MCWaterSavings!B35/MCWaterBefore!B35</f>
        <v>0</v>
      </c>
      <c r="B36" s="2">
        <f>MCWaterSavings!C35/MCWaterBefore!C35</f>
        <v>0.38461538461538464</v>
      </c>
      <c r="C36" s="2">
        <f>MCWaterSavings!D35/MCWaterBefore!D35</f>
        <v>1.188804263476803E-16</v>
      </c>
      <c r="D36" s="2">
        <f>MCWaterSavings!E35/MCWaterBefore!E35</f>
        <v>0</v>
      </c>
      <c r="E36" s="2">
        <f>MCWaterSavings!F35/MCWaterBefore!F35</f>
        <v>0</v>
      </c>
      <c r="F36" s="2">
        <f>MCWaterSavings!G35/MCWaterBefore!G35</f>
        <v>0</v>
      </c>
    </row>
    <row r="37" spans="1:6" x14ac:dyDescent="0.35">
      <c r="A37" s="2">
        <f>MCWaterSavings!B36/MCWaterBefore!B36</f>
        <v>0</v>
      </c>
      <c r="B37" s="2">
        <f>MCWaterSavings!C36/MCWaterBefore!C36</f>
        <v>-1.3287964084636252E-16</v>
      </c>
      <c r="C37" s="2">
        <f>MCWaterSavings!D36/MCWaterBefore!D36</f>
        <v>0.40000000000000008</v>
      </c>
      <c r="D37" s="2">
        <f>MCWaterSavings!E36/MCWaterBefore!E36</f>
        <v>0</v>
      </c>
      <c r="E37" s="2">
        <f>MCWaterSavings!F36/MCWaterBefore!F36</f>
        <v>0</v>
      </c>
      <c r="F37" s="2">
        <f>MCWaterSavings!G36/MCWaterBefore!G36</f>
        <v>0</v>
      </c>
    </row>
    <row r="38" spans="1:6" x14ac:dyDescent="0.35">
      <c r="A38" s="2">
        <f>MCWaterSavings!B37/MCWaterBefore!B37</f>
        <v>0.4</v>
      </c>
      <c r="B38" s="2">
        <f>MCWaterSavings!C37/MCWaterBefore!C37</f>
        <v>0</v>
      </c>
      <c r="C38" s="2">
        <f>MCWaterSavings!D37/MCWaterBefore!D37</f>
        <v>0.31818181818181851</v>
      </c>
      <c r="D38" s="2">
        <f>MCWaterSavings!E37/MCWaterBefore!E37</f>
        <v>0</v>
      </c>
      <c r="E38" s="2">
        <f>MCWaterSavings!F37/MCWaterBefore!F37</f>
        <v>0</v>
      </c>
      <c r="F38" s="2">
        <f>MCWaterSavings!G37/MCWaterBefore!G37</f>
        <v>0.23970193374999982</v>
      </c>
    </row>
    <row r="39" spans="1:6" x14ac:dyDescent="0.35">
      <c r="A39" s="2">
        <f>MCWaterSavings!B38/MCWaterBefore!B38</f>
        <v>0.28571428571428581</v>
      </c>
      <c r="B39" s="2">
        <f>MCWaterSavings!C38/MCWaterBefore!C38</f>
        <v>0.38461538461538464</v>
      </c>
      <c r="C39" s="2">
        <f>MCWaterSavings!D38/MCWaterBefore!D38</f>
        <v>0.31818181818181834</v>
      </c>
      <c r="D39" s="2">
        <f>MCWaterSavings!E38/MCWaterBefore!E38</f>
        <v>0.4</v>
      </c>
      <c r="E39" s="2">
        <f>MCWaterSavings!F38/MCWaterBefore!F38</f>
        <v>0</v>
      </c>
      <c r="F39" s="2">
        <f>MCWaterSavings!G38/MCWaterBefore!G38</f>
        <v>0.21520297410000011</v>
      </c>
    </row>
    <row r="40" spans="1:6" x14ac:dyDescent="0.35">
      <c r="A40" s="2">
        <f>MCWaterSavings!B39/MCWaterBefore!B39</f>
        <v>0.5714285714285714</v>
      </c>
      <c r="B40" s="2">
        <f>MCWaterSavings!C39/MCWaterBefore!C39</f>
        <v>0</v>
      </c>
      <c r="C40" s="2">
        <f>MCWaterSavings!D39/MCWaterBefore!D39</f>
        <v>0.59090909090909105</v>
      </c>
      <c r="D40" s="2">
        <f>MCWaterSavings!E39/MCWaterBefore!E39</f>
        <v>0</v>
      </c>
      <c r="E40" s="2">
        <f>MCWaterSavings!F39/MCWaterBefore!F39</f>
        <v>0.40000000000000008</v>
      </c>
      <c r="F40" s="2">
        <f>MCWaterSavings!G39/MCWaterBefore!G39</f>
        <v>0.28140561774999995</v>
      </c>
    </row>
    <row r="41" spans="1:6" x14ac:dyDescent="0.35">
      <c r="A41" s="2">
        <f>MCWaterSavings!B40/MCWaterBefore!B40</f>
        <v>0.40000000000000008</v>
      </c>
      <c r="B41" s="2">
        <f>MCWaterSavings!C40/MCWaterBefore!C40</f>
        <v>0</v>
      </c>
      <c r="C41" s="2">
        <f>MCWaterSavings!D40/MCWaterBefore!D40</f>
        <v>0.4</v>
      </c>
      <c r="D41" s="2">
        <f>MCWaterSavings!E40/MCWaterBefore!E40</f>
        <v>0.58064516129032262</v>
      </c>
      <c r="E41" s="2">
        <f>MCWaterSavings!F40/MCWaterBefore!F40</f>
        <v>0</v>
      </c>
      <c r="F41" s="2">
        <f>MCWaterSavings!G40/MCWaterBefore!G40</f>
        <v>0.68063077650000015</v>
      </c>
    </row>
    <row r="42" spans="1:6" x14ac:dyDescent="0.35">
      <c r="A42" s="2">
        <f>MCWaterSavings!B41/MCWaterBefore!B41</f>
        <v>0</v>
      </c>
      <c r="B42" s="2">
        <f>MCWaterSavings!C41/MCWaterBefore!C41</f>
        <v>0.38461538461538453</v>
      </c>
      <c r="C42" s="2">
        <f>MCWaterSavings!D41/MCWaterBefore!D41</f>
        <v>0.40000000000000013</v>
      </c>
      <c r="D42" s="2">
        <f>MCWaterSavings!E41/MCWaterBefore!E41</f>
        <v>0</v>
      </c>
      <c r="E42" s="2">
        <f>MCWaterSavings!F41/MCWaterBefore!F41</f>
        <v>0.40000000000000008</v>
      </c>
      <c r="F42" s="2">
        <f>MCWaterSavings!G41/MCWaterBefore!G41</f>
        <v>0.16207226679999989</v>
      </c>
    </row>
    <row r="43" spans="1:6" x14ac:dyDescent="0.35">
      <c r="A43" s="2">
        <f>MCWaterSavings!B42/MCWaterBefore!B42</f>
        <v>0.38095238095238093</v>
      </c>
      <c r="B43" s="2">
        <f>MCWaterSavings!C42/MCWaterBefore!C42</f>
        <v>0.38461538461538453</v>
      </c>
      <c r="C43" s="2">
        <f>MCWaterSavings!D42/MCWaterBefore!D42</f>
        <v>0.59090909090909094</v>
      </c>
      <c r="D43" s="2">
        <f>MCWaterSavings!E42/MCWaterBefore!E42</f>
        <v>0.40000000000000008</v>
      </c>
      <c r="E43" s="2">
        <f>MCWaterSavings!F42/MCWaterBefore!F42</f>
        <v>0.40000000000000008</v>
      </c>
      <c r="F43" s="2">
        <f>MCWaterSavings!G42/MCWaterBefore!G42</f>
        <v>0.19888403355000003</v>
      </c>
    </row>
    <row r="44" spans="1:6" x14ac:dyDescent="0.35">
      <c r="A44" s="2">
        <f>MCWaterSavings!B43/MCWaterBefore!B43</f>
        <v>0.47058823529411764</v>
      </c>
      <c r="B44" s="2">
        <f>MCWaterSavings!C43/MCWaterBefore!C43</f>
        <v>0</v>
      </c>
      <c r="C44" s="2">
        <f>MCWaterSavings!D43/MCWaterBefore!D43</f>
        <v>0.3181818181818184</v>
      </c>
      <c r="D44" s="2">
        <f>MCWaterSavings!E43/MCWaterBefore!E43</f>
        <v>0</v>
      </c>
      <c r="E44" s="2">
        <f>MCWaterSavings!F43/MCWaterBefore!F43</f>
        <v>0</v>
      </c>
      <c r="F44" s="2">
        <f>MCWaterSavings!G43/MCWaterBefore!G43</f>
        <v>0</v>
      </c>
    </row>
    <row r="45" spans="1:6" x14ac:dyDescent="0.35">
      <c r="A45" s="2">
        <f>MCWaterSavings!B44/MCWaterBefore!B44</f>
        <v>0.29189189189189196</v>
      </c>
      <c r="B45" s="2">
        <f>MCWaterSavings!C44/MCWaterBefore!C44</f>
        <v>0</v>
      </c>
      <c r="C45" s="2">
        <f>MCWaterSavings!D44/MCWaterBefore!D44</f>
        <v>0.31818181818181829</v>
      </c>
      <c r="D45" s="2">
        <f>MCWaterSavings!E44/MCWaterBefore!E44</f>
        <v>0</v>
      </c>
      <c r="E45" s="2">
        <f>MCWaterSavings!F44/MCWaterBefore!F44</f>
        <v>0.40000000000000008</v>
      </c>
      <c r="F45" s="2">
        <f>MCWaterSavings!G44/MCWaterBefore!G44</f>
        <v>0.35483360810000003</v>
      </c>
    </row>
    <row r="46" spans="1:6" x14ac:dyDescent="0.35">
      <c r="A46" s="2">
        <f>MCWaterSavings!B45/MCWaterBefore!B45</f>
        <v>0.2857142857142857</v>
      </c>
      <c r="B46" s="2">
        <f>MCWaterSavings!C45/MCWaterBefore!C45</f>
        <v>0.38461538461538464</v>
      </c>
      <c r="C46" s="2">
        <f>MCWaterSavings!D45/MCWaterBefore!D45</f>
        <v>0.3181818181818184</v>
      </c>
      <c r="D46" s="2">
        <f>MCWaterSavings!E45/MCWaterBefore!E45</f>
        <v>0</v>
      </c>
      <c r="E46" s="2">
        <f>MCWaterSavings!F45/MCWaterBefore!F45</f>
        <v>0.4</v>
      </c>
      <c r="F46" s="2">
        <f>MCWaterSavings!G45/MCWaterBefore!G45</f>
        <v>0.46609501439999995</v>
      </c>
    </row>
    <row r="47" spans="1:6" x14ac:dyDescent="0.35">
      <c r="A47" s="2">
        <f>MCWaterSavings!B46/MCWaterBefore!B46</f>
        <v>0.2857142857142857</v>
      </c>
      <c r="B47" s="2">
        <f>MCWaterSavings!C46/MCWaterBefore!C46</f>
        <v>0.38461538461538464</v>
      </c>
      <c r="C47" s="2">
        <f>MCWaterSavings!D46/MCWaterBefore!D46</f>
        <v>0.59090909090909105</v>
      </c>
      <c r="D47" s="2">
        <f>MCWaterSavings!E46/MCWaterBefore!E46</f>
        <v>0</v>
      </c>
      <c r="E47" s="2">
        <f>MCWaterSavings!F46/MCWaterBefore!F46</f>
        <v>0.40000000000000008</v>
      </c>
      <c r="F47" s="2">
        <f>MCWaterSavings!G46/MCWaterBefore!G46</f>
        <v>0.16628251460000001</v>
      </c>
    </row>
    <row r="48" spans="1:6" x14ac:dyDescent="0.35">
      <c r="A48" s="2">
        <f>MCWaterSavings!B47/MCWaterBefore!B47</f>
        <v>0</v>
      </c>
      <c r="B48" s="2">
        <f>MCWaterSavings!C47/MCWaterBefore!C47</f>
        <v>0</v>
      </c>
      <c r="C48" s="2">
        <f>MCWaterSavings!D47/MCWaterBefore!D47</f>
        <v>0.59090909090909105</v>
      </c>
      <c r="D48" s="2">
        <f>MCWaterSavings!E47/MCWaterBefore!E47</f>
        <v>0.4</v>
      </c>
      <c r="E48" s="2">
        <f>MCWaterSavings!F47/MCWaterBefore!F47</f>
        <v>0.40000000000000008</v>
      </c>
      <c r="F48" s="2">
        <f>MCWaterSavings!G47/MCWaterBefore!G47</f>
        <v>0</v>
      </c>
    </row>
    <row r="49" spans="1:6" x14ac:dyDescent="0.35">
      <c r="A49" s="2">
        <f>MCWaterSavings!B48/MCWaterBefore!B48</f>
        <v>0.28571428571428581</v>
      </c>
      <c r="B49" s="2">
        <f>MCWaterSavings!C48/MCWaterBefore!C48</f>
        <v>0</v>
      </c>
      <c r="C49" s="2">
        <f>MCWaterSavings!D48/MCWaterBefore!D48</f>
        <v>0.31818181818181829</v>
      </c>
      <c r="D49" s="2">
        <f>MCWaterSavings!E48/MCWaterBefore!E48</f>
        <v>0</v>
      </c>
      <c r="E49" s="2">
        <f>MCWaterSavings!F48/MCWaterBefore!F48</f>
        <v>0</v>
      </c>
      <c r="F49" s="2">
        <f>MCWaterSavings!G48/MCWaterBefore!G48</f>
        <v>0.25611395409999993</v>
      </c>
    </row>
    <row r="50" spans="1:6" x14ac:dyDescent="0.35">
      <c r="A50" s="2">
        <f>MCWaterSavings!B49/MCWaterBefore!B49</f>
        <v>1.3128994774686344E-16</v>
      </c>
      <c r="B50" s="2">
        <f>MCWaterSavings!C49/MCWaterBefore!C49</f>
        <v>0</v>
      </c>
      <c r="C50" s="2">
        <f>MCWaterSavings!D49/MCWaterBefore!D49</f>
        <v>0</v>
      </c>
      <c r="D50" s="2">
        <f>MCWaterSavings!E49/MCWaterBefore!E49</f>
        <v>0</v>
      </c>
      <c r="E50" s="2">
        <f>MCWaterSavings!F49/MCWaterBefore!F49</f>
        <v>0.40000000000000008</v>
      </c>
      <c r="F50" s="2">
        <f>MCWaterSavings!G49/MCWaterBefore!G49</f>
        <v>0</v>
      </c>
    </row>
    <row r="51" spans="1:6" x14ac:dyDescent="0.35">
      <c r="A51" s="2">
        <f>MCWaterSavings!B50/MCWaterBefore!B50</f>
        <v>0.54399999999999993</v>
      </c>
      <c r="B51" s="2">
        <f>MCWaterSavings!C50/MCWaterBefore!C50</f>
        <v>0.38461538461538469</v>
      </c>
      <c r="C51" s="2">
        <f>MCWaterSavings!D50/MCWaterBefore!D50</f>
        <v>0.31818181818181829</v>
      </c>
      <c r="D51" s="2">
        <f>MCWaterSavings!E50/MCWaterBefore!E50</f>
        <v>0.4</v>
      </c>
      <c r="E51" s="2">
        <f>MCWaterSavings!F50/MCWaterBefore!F50</f>
        <v>0</v>
      </c>
      <c r="F51" s="2">
        <f>MCWaterSavings!G50/MCWaterBefore!G50</f>
        <v>0.63491194784999994</v>
      </c>
    </row>
    <row r="52" spans="1:6" x14ac:dyDescent="0.35">
      <c r="A52" s="2">
        <f>MCWaterSavings!B51/MCWaterBefore!B51</f>
        <v>0.74285714285714288</v>
      </c>
      <c r="B52" s="2">
        <f>MCWaterSavings!C51/MCWaterBefore!C51</f>
        <v>1.3624368238677674E-16</v>
      </c>
      <c r="C52" s="2">
        <f>MCWaterSavings!D51/MCWaterBefore!D51</f>
        <v>0.59090909090909094</v>
      </c>
      <c r="D52" s="2">
        <f>MCWaterSavings!E51/MCWaterBefore!E51</f>
        <v>0.40000000000000008</v>
      </c>
      <c r="E52" s="2">
        <f>MCWaterSavings!F51/MCWaterBefore!F51</f>
        <v>-1.2743375392642965E-16</v>
      </c>
      <c r="F52" s="2">
        <f>MCWaterSavings!G51/MCWaterBefore!G51</f>
        <v>0</v>
      </c>
    </row>
    <row r="53" spans="1:6" x14ac:dyDescent="0.35">
      <c r="A53" s="2">
        <f>MCWaterSavings!B52/MCWaterBefore!B52</f>
        <v>0.31111111111111117</v>
      </c>
      <c r="B53" s="2">
        <f>MCWaterSavings!C52/MCWaterBefore!C52</f>
        <v>0</v>
      </c>
      <c r="C53" s="2">
        <f>MCWaterSavings!D52/MCWaterBefore!D52</f>
        <v>0.31818181818181829</v>
      </c>
      <c r="D53" s="2">
        <f>MCWaterSavings!E52/MCWaterBefore!E52</f>
        <v>0.40000000000000008</v>
      </c>
      <c r="E53" s="2">
        <f>MCWaterSavings!F52/MCWaterBefore!F52</f>
        <v>0.40000000000000008</v>
      </c>
      <c r="F53" s="2">
        <f>MCWaterSavings!G52/MCWaterBefore!G52</f>
        <v>0</v>
      </c>
    </row>
    <row r="54" spans="1:6" x14ac:dyDescent="0.35">
      <c r="A54" s="2">
        <f>MCWaterSavings!B53/MCWaterBefore!B53</f>
        <v>0.13333333333333325</v>
      </c>
      <c r="B54" s="2">
        <f>MCWaterSavings!C53/MCWaterBefore!C53</f>
        <v>1.237155276845444E-16</v>
      </c>
      <c r="C54" s="2">
        <f>MCWaterSavings!D53/MCWaterBefore!D53</f>
        <v>0.59090909090909094</v>
      </c>
      <c r="D54" s="2">
        <f>MCWaterSavings!E53/MCWaterBefore!E53</f>
        <v>0.58064516129032262</v>
      </c>
      <c r="E54" s="2">
        <f>MCWaterSavings!F53/MCWaterBefore!F53</f>
        <v>0</v>
      </c>
      <c r="F54" s="2">
        <f>MCWaterSavings!G53/MCWaterBefore!G53</f>
        <v>0</v>
      </c>
    </row>
    <row r="55" spans="1:6" x14ac:dyDescent="0.35">
      <c r="A55" s="2">
        <f>MCWaterSavings!B54/MCWaterBefore!B54</f>
        <v>0.4768</v>
      </c>
      <c r="B55" s="2">
        <f>MCWaterSavings!C54/MCWaterBefore!C54</f>
        <v>0.38461538461538464</v>
      </c>
      <c r="C55" s="2">
        <f>MCWaterSavings!D54/MCWaterBefore!D54</f>
        <v>0.31818181818181829</v>
      </c>
      <c r="D55" s="2">
        <f>MCWaterSavings!E54/MCWaterBefore!E54</f>
        <v>0.40000000000000013</v>
      </c>
      <c r="E55" s="2">
        <f>MCWaterSavings!F54/MCWaterBefore!F54</f>
        <v>0.3999999999999998</v>
      </c>
      <c r="F55" s="2">
        <f>MCWaterSavings!G54/MCWaterBefore!G54</f>
        <v>0.33844142954999995</v>
      </c>
    </row>
    <row r="56" spans="1:6" x14ac:dyDescent="0.35">
      <c r="A56" s="2">
        <f>MCWaterSavings!B55/MCWaterBefore!B55</f>
        <v>0.28571428571428581</v>
      </c>
      <c r="B56" s="2">
        <f>MCWaterSavings!C55/MCWaterBefore!C55</f>
        <v>0.38461538461538464</v>
      </c>
      <c r="C56" s="2">
        <f>MCWaterSavings!D55/MCWaterBefore!D55</f>
        <v>0</v>
      </c>
      <c r="D56" s="2">
        <f>MCWaterSavings!E55/MCWaterBefore!E55</f>
        <v>0.40000000000000008</v>
      </c>
      <c r="E56" s="2">
        <f>MCWaterSavings!F55/MCWaterBefore!F55</f>
        <v>0</v>
      </c>
      <c r="F56" s="2">
        <f>MCWaterSavings!G55/MCWaterBefore!G55</f>
        <v>0</v>
      </c>
    </row>
    <row r="57" spans="1:6" x14ac:dyDescent="0.35">
      <c r="A57" s="2">
        <f>MCWaterSavings!B56/MCWaterBefore!B56</f>
        <v>0.2857142857142857</v>
      </c>
      <c r="B57" s="2">
        <f>MCWaterSavings!C56/MCWaterBefore!C56</f>
        <v>0</v>
      </c>
      <c r="C57" s="2">
        <f>MCWaterSavings!D56/MCWaterBefore!D56</f>
        <v>0.31818181818181834</v>
      </c>
      <c r="D57" s="2">
        <f>MCWaterSavings!E56/MCWaterBefore!E56</f>
        <v>0.4</v>
      </c>
      <c r="E57" s="2">
        <f>MCWaterSavings!F56/MCWaterBefore!F56</f>
        <v>-1.2743375392642965E-16</v>
      </c>
      <c r="F57" s="2">
        <f>MCWaterSavings!G56/MCWaterBefore!G56</f>
        <v>0</v>
      </c>
    </row>
    <row r="58" spans="1:6" x14ac:dyDescent="0.35">
      <c r="A58" s="2">
        <f>MCWaterSavings!B57/MCWaterBefore!B57</f>
        <v>1.4484706191637651E-16</v>
      </c>
      <c r="B58" s="2">
        <f>MCWaterSavings!C57/MCWaterBefore!C57</f>
        <v>0.38461538461538464</v>
      </c>
      <c r="C58" s="2">
        <f>MCWaterSavings!D57/MCWaterBefore!D57</f>
        <v>0.40000000000000008</v>
      </c>
      <c r="D58" s="2">
        <f>MCWaterSavings!E57/MCWaterBefore!E57</f>
        <v>0.40000000000000008</v>
      </c>
      <c r="E58" s="2">
        <f>MCWaterSavings!F57/MCWaterBefore!F57</f>
        <v>0</v>
      </c>
      <c r="F58" s="2">
        <f>MCWaterSavings!G57/MCWaterBefore!G57</f>
        <v>0.20165641414999982</v>
      </c>
    </row>
    <row r="59" spans="1:6" x14ac:dyDescent="0.35">
      <c r="A59" s="2">
        <f>MCWaterSavings!B58/MCWaterBefore!B58</f>
        <v>0.57142857142857151</v>
      </c>
      <c r="B59" s="2">
        <f>MCWaterSavings!C58/MCWaterBefore!C58</f>
        <v>0.38461538461538464</v>
      </c>
      <c r="C59" s="2">
        <f>MCWaterSavings!D58/MCWaterBefore!D58</f>
        <v>0.3181818181818184</v>
      </c>
      <c r="D59" s="2">
        <f>MCWaterSavings!E58/MCWaterBefore!E58</f>
        <v>0</v>
      </c>
      <c r="E59" s="2">
        <f>MCWaterSavings!F58/MCWaterBefore!F58</f>
        <v>0.4</v>
      </c>
      <c r="F59" s="2">
        <f>MCWaterSavings!G58/MCWaterBefore!G58</f>
        <v>0</v>
      </c>
    </row>
    <row r="60" spans="1:6" x14ac:dyDescent="0.35">
      <c r="A60" s="2">
        <f>MCWaterSavings!B59/MCWaterBefore!B59</f>
        <v>0.33082706766917291</v>
      </c>
      <c r="B60" s="2">
        <f>MCWaterSavings!C59/MCWaterBefore!C59</f>
        <v>0.38461538461538464</v>
      </c>
      <c r="C60" s="2">
        <f>MCWaterSavings!D59/MCWaterBefore!D59</f>
        <v>2.8267123598226198E-16</v>
      </c>
      <c r="D60" s="2">
        <f>MCWaterSavings!E59/MCWaterBefore!E59</f>
        <v>0</v>
      </c>
      <c r="E60" s="2">
        <f>MCWaterSavings!F59/MCWaterBefore!F59</f>
        <v>0</v>
      </c>
      <c r="F60" s="2">
        <f>MCWaterSavings!G59/MCWaterBefore!G59</f>
        <v>0.44419817900000014</v>
      </c>
    </row>
    <row r="61" spans="1:6" x14ac:dyDescent="0.35">
      <c r="A61" s="2">
        <f>MCWaterSavings!B60/MCWaterBefore!B60</f>
        <v>0.49769585253456228</v>
      </c>
      <c r="B61" s="2">
        <f>MCWaterSavings!C60/MCWaterBefore!C60</f>
        <v>0</v>
      </c>
      <c r="C61" s="2">
        <f>MCWaterSavings!D60/MCWaterBefore!D60</f>
        <v>0.3181818181818184</v>
      </c>
      <c r="D61" s="2">
        <f>MCWaterSavings!E60/MCWaterBefore!E60</f>
        <v>0.40000000000000008</v>
      </c>
      <c r="E61" s="2">
        <f>MCWaterSavings!F60/MCWaterBefore!F60</f>
        <v>0.40000000000000008</v>
      </c>
      <c r="F61" s="2">
        <f>MCWaterSavings!G60/MCWaterBefore!G60</f>
        <v>0</v>
      </c>
    </row>
    <row r="62" spans="1:6" x14ac:dyDescent="0.35">
      <c r="A62" s="2">
        <f>MCWaterSavings!B61/MCWaterBefore!B61</f>
        <v>0.64000000000000012</v>
      </c>
      <c r="B62" s="2">
        <f>MCWaterSavings!C61/MCWaterBefore!C61</f>
        <v>0.38461538461538464</v>
      </c>
      <c r="C62" s="2">
        <f>MCWaterSavings!D61/MCWaterBefore!D61</f>
        <v>0.59090909090909094</v>
      </c>
      <c r="D62" s="2">
        <f>MCWaterSavings!E61/MCWaterBefore!E61</f>
        <v>0.40000000000000013</v>
      </c>
      <c r="E62" s="2">
        <f>MCWaterSavings!F61/MCWaterBefore!F61</f>
        <v>0.40000000000000008</v>
      </c>
      <c r="F62" s="2">
        <f>MCWaterSavings!G61/MCWaterBefore!G61</f>
        <v>0.19724637939999989</v>
      </c>
    </row>
    <row r="63" spans="1:6" x14ac:dyDescent="0.35">
      <c r="A63" s="2">
        <f>MCWaterSavings!B62/MCWaterBefore!B62</f>
        <v>0.40000000000000013</v>
      </c>
      <c r="B63" s="2">
        <f>MCWaterSavings!C62/MCWaterBefore!C62</f>
        <v>0.38461538461538464</v>
      </c>
      <c r="C63" s="2">
        <f>MCWaterSavings!D62/MCWaterBefore!D62</f>
        <v>0.31818181818181845</v>
      </c>
      <c r="D63" s="2">
        <f>MCWaterSavings!E62/MCWaterBefore!E62</f>
        <v>0</v>
      </c>
      <c r="E63" s="2">
        <f>MCWaterSavings!F62/MCWaterBefore!F62</f>
        <v>0</v>
      </c>
      <c r="F63" s="2">
        <f>MCWaterSavings!G62/MCWaterBefore!G62</f>
        <v>0.41379216104999994</v>
      </c>
    </row>
    <row r="64" spans="1:6" x14ac:dyDescent="0.35">
      <c r="A64" s="2">
        <f>MCWaterSavings!B63/MCWaterBefore!B63</f>
        <v>0.40000000000000013</v>
      </c>
      <c r="B64" s="2">
        <f>MCWaterSavings!C63/MCWaterBefore!C63</f>
        <v>0.38461538461538453</v>
      </c>
      <c r="C64" s="2">
        <f>MCWaterSavings!D63/MCWaterBefore!D63</f>
        <v>0</v>
      </c>
      <c r="D64" s="2">
        <f>MCWaterSavings!E63/MCWaterBefore!E63</f>
        <v>0</v>
      </c>
      <c r="E64" s="2">
        <f>MCWaterSavings!F63/MCWaterBefore!F63</f>
        <v>0.40000000000000008</v>
      </c>
      <c r="F64" s="2">
        <f>MCWaterSavings!G63/MCWaterBefore!G63</f>
        <v>0</v>
      </c>
    </row>
    <row r="65" spans="1:6" x14ac:dyDescent="0.35">
      <c r="A65" s="2">
        <f>MCWaterSavings!B64/MCWaterBefore!B64</f>
        <v>0.40000000000000019</v>
      </c>
      <c r="B65" s="2">
        <f>MCWaterSavings!C64/MCWaterBefore!C64</f>
        <v>0.38461538461538453</v>
      </c>
      <c r="C65" s="2">
        <f>MCWaterSavings!D64/MCWaterBefore!D64</f>
        <v>0.31818181818181829</v>
      </c>
      <c r="D65" s="2">
        <f>MCWaterSavings!E64/MCWaterBefore!E64</f>
        <v>0</v>
      </c>
      <c r="E65" s="2">
        <f>MCWaterSavings!F64/MCWaterBefore!F64</f>
        <v>0.40000000000000008</v>
      </c>
      <c r="F65" s="2">
        <f>MCWaterSavings!G64/MCWaterBefore!G64</f>
        <v>0</v>
      </c>
    </row>
    <row r="66" spans="1:6" x14ac:dyDescent="0.35">
      <c r="A66" s="2">
        <f>MCWaterSavings!B65/MCWaterBefore!B65</f>
        <v>0.4</v>
      </c>
      <c r="B66" s="2">
        <f>MCWaterSavings!C65/MCWaterBefore!C65</f>
        <v>0.38461538461538464</v>
      </c>
      <c r="C66" s="2">
        <f>MCWaterSavings!D65/MCWaterBefore!D65</f>
        <v>0.59090909090909094</v>
      </c>
      <c r="D66" s="2">
        <f>MCWaterSavings!E65/MCWaterBefore!E65</f>
        <v>0</v>
      </c>
      <c r="E66" s="2">
        <f>MCWaterSavings!F65/MCWaterBefore!F65</f>
        <v>0</v>
      </c>
      <c r="F66" s="2">
        <f>MCWaterSavings!G65/MCWaterBefore!G65</f>
        <v>0</v>
      </c>
    </row>
    <row r="67" spans="1:6" x14ac:dyDescent="0.35">
      <c r="A67" s="2">
        <f>MCWaterSavings!B66/MCWaterBefore!B66</f>
        <v>0.58580645161290323</v>
      </c>
      <c r="B67" s="2">
        <f>MCWaterSavings!C66/MCWaterBefore!C66</f>
        <v>0.38461538461538469</v>
      </c>
      <c r="C67" s="2">
        <f>MCWaterSavings!D66/MCWaterBefore!D66</f>
        <v>0.59090909090909094</v>
      </c>
      <c r="D67" s="2">
        <f>MCWaterSavings!E66/MCWaterBefore!E66</f>
        <v>0</v>
      </c>
      <c r="E67" s="2">
        <f>MCWaterSavings!F66/MCWaterBefore!F66</f>
        <v>0.4</v>
      </c>
      <c r="F67" s="2">
        <f>MCWaterSavings!G66/MCWaterBefore!G66</f>
        <v>0</v>
      </c>
    </row>
    <row r="68" spans="1:6" x14ac:dyDescent="0.35">
      <c r="A68" s="2">
        <f>MCWaterSavings!B67/MCWaterBefore!B67</f>
        <v>0.4</v>
      </c>
      <c r="B68" s="2">
        <f>MCWaterSavings!C67/MCWaterBefore!C67</f>
        <v>0.38461538461538464</v>
      </c>
      <c r="C68" s="2">
        <f>MCWaterSavings!D67/MCWaterBefore!D67</f>
        <v>1.7666952248891377E-16</v>
      </c>
      <c r="D68" s="2">
        <f>MCWaterSavings!E67/MCWaterBefore!E67</f>
        <v>0</v>
      </c>
      <c r="E68" s="2">
        <f>MCWaterSavings!F67/MCWaterBefore!F67</f>
        <v>0</v>
      </c>
      <c r="F68" s="2">
        <f>MCWaterSavings!G67/MCWaterBefore!G67</f>
        <v>0</v>
      </c>
    </row>
    <row r="69" spans="1:6" x14ac:dyDescent="0.35">
      <c r="A69" s="2">
        <f>MCWaterSavings!B68/MCWaterBefore!B68</f>
        <v>9.5999999999999933E-2</v>
      </c>
      <c r="B69" s="2">
        <f>MCWaterSavings!C68/MCWaterBefore!C68</f>
        <v>0</v>
      </c>
      <c r="C69" s="2">
        <f>MCWaterSavings!D68/MCWaterBefore!D68</f>
        <v>0.3181818181818184</v>
      </c>
      <c r="D69" s="2">
        <f>MCWaterSavings!E68/MCWaterBefore!E68</f>
        <v>0.4</v>
      </c>
      <c r="E69" s="2">
        <f>MCWaterSavings!F68/MCWaterBefore!F68</f>
        <v>0.40000000000000008</v>
      </c>
      <c r="F69" s="2">
        <f>MCWaterSavings!G68/MCWaterBefore!G68</f>
        <v>0</v>
      </c>
    </row>
    <row r="70" spans="1:6" x14ac:dyDescent="0.35">
      <c r="A70" s="2">
        <f>MCWaterSavings!B69/MCWaterBefore!B69</f>
        <v>0.4</v>
      </c>
      <c r="B70" s="2">
        <f>MCWaterSavings!C69/MCWaterBefore!C69</f>
        <v>0.38461538461538464</v>
      </c>
      <c r="C70" s="2">
        <f>MCWaterSavings!D69/MCWaterBefore!D69</f>
        <v>0.59090909090909094</v>
      </c>
      <c r="D70" s="2">
        <f>MCWaterSavings!E69/MCWaterBefore!E69</f>
        <v>0.40000000000000008</v>
      </c>
      <c r="E70" s="2">
        <f>MCWaterSavings!F69/MCWaterBefore!F69</f>
        <v>0.40000000000000008</v>
      </c>
      <c r="F70" s="2">
        <f>MCWaterSavings!G69/MCWaterBefore!G69</f>
        <v>0</v>
      </c>
    </row>
    <row r="71" spans="1:6" x14ac:dyDescent="0.35">
      <c r="A71" s="2">
        <f>MCWaterSavings!B70/MCWaterBefore!B70</f>
        <v>0.5714285714285714</v>
      </c>
      <c r="B71" s="2">
        <f>MCWaterSavings!C70/MCWaterBefore!C70</f>
        <v>0.38461538461538464</v>
      </c>
      <c r="C71" s="2">
        <f>MCWaterSavings!D70/MCWaterBefore!D70</f>
        <v>0.59090909090909105</v>
      </c>
      <c r="D71" s="2">
        <f>MCWaterSavings!E70/MCWaterBefore!E70</f>
        <v>0.40000000000000008</v>
      </c>
      <c r="E71" s="2">
        <f>MCWaterSavings!F70/MCWaterBefore!F70</f>
        <v>0</v>
      </c>
      <c r="F71" s="2">
        <f>MCWaterSavings!G70/MCWaterBefore!G70</f>
        <v>0.3321088131499999</v>
      </c>
    </row>
    <row r="72" spans="1:6" x14ac:dyDescent="0.35">
      <c r="A72" s="2">
        <f>MCWaterSavings!B71/MCWaterBefore!B71</f>
        <v>0.2857142857142857</v>
      </c>
      <c r="B72" s="2">
        <f>MCWaterSavings!C71/MCWaterBefore!C71</f>
        <v>0</v>
      </c>
      <c r="C72" s="2">
        <f>MCWaterSavings!D71/MCWaterBefore!D71</f>
        <v>0.40000000000000013</v>
      </c>
      <c r="D72" s="2">
        <f>MCWaterSavings!E71/MCWaterBefore!E71</f>
        <v>0</v>
      </c>
      <c r="E72" s="2">
        <f>MCWaterSavings!F71/MCWaterBefore!F71</f>
        <v>0.40000000000000008</v>
      </c>
      <c r="F72" s="2">
        <f>MCWaterSavings!G71/MCWaterBefore!G71</f>
        <v>0</v>
      </c>
    </row>
    <row r="73" spans="1:6" x14ac:dyDescent="0.35">
      <c r="A73" s="2">
        <f>MCWaterSavings!B72/MCWaterBefore!B72</f>
        <v>0</v>
      </c>
      <c r="B73" s="2">
        <f>MCWaterSavings!C72/MCWaterBefore!C72</f>
        <v>1.5598914360225163E-16</v>
      </c>
      <c r="C73" s="2">
        <f>MCWaterSavings!D72/MCWaterBefore!D72</f>
        <v>0</v>
      </c>
      <c r="D73" s="2">
        <f>MCWaterSavings!E72/MCWaterBefore!E72</f>
        <v>0.4</v>
      </c>
      <c r="E73" s="2">
        <f>MCWaterSavings!F72/MCWaterBefore!F72</f>
        <v>0</v>
      </c>
      <c r="F73" s="2">
        <f>MCWaterSavings!G72/MCWaterBefore!G72</f>
        <v>0.24522378084999993</v>
      </c>
    </row>
    <row r="74" spans="1:6" x14ac:dyDescent="0.35">
      <c r="A74" s="2">
        <f>MCWaterSavings!B73/MCWaterBefore!B73</f>
        <v>1.5983124073531202E-16</v>
      </c>
      <c r="B74" s="2">
        <f>MCWaterSavings!C73/MCWaterBefore!C73</f>
        <v>0.38461538461538469</v>
      </c>
      <c r="C74" s="2">
        <f>MCWaterSavings!D73/MCWaterBefore!D73</f>
        <v>0.59090909090909105</v>
      </c>
      <c r="D74" s="2">
        <f>MCWaterSavings!E73/MCWaterBefore!E73</f>
        <v>0</v>
      </c>
      <c r="E74" s="2">
        <f>MCWaterSavings!F73/MCWaterBefore!F73</f>
        <v>0.40000000000000008</v>
      </c>
      <c r="F74" s="2">
        <f>MCWaterSavings!G73/MCWaterBefore!G73</f>
        <v>0.54815511229999991</v>
      </c>
    </row>
    <row r="75" spans="1:6" x14ac:dyDescent="0.35">
      <c r="A75" s="2">
        <f>MCWaterSavings!B74/MCWaterBefore!B74</f>
        <v>0.2857142857142857</v>
      </c>
      <c r="B75" s="2">
        <f>MCWaterSavings!C74/MCWaterBefore!C74</f>
        <v>0.38461538461538469</v>
      </c>
      <c r="C75" s="2">
        <f>MCWaterSavings!D74/MCWaterBefore!D74</f>
        <v>0.3181818181818184</v>
      </c>
      <c r="D75" s="2">
        <f>MCWaterSavings!E74/MCWaterBefore!E74</f>
        <v>0.4</v>
      </c>
      <c r="E75" s="2">
        <f>MCWaterSavings!F74/MCWaterBefore!F74</f>
        <v>0.40000000000000008</v>
      </c>
      <c r="F75" s="2">
        <f>MCWaterSavings!G74/MCWaterBefore!G74</f>
        <v>0</v>
      </c>
    </row>
    <row r="76" spans="1:6" x14ac:dyDescent="0.35">
      <c r="A76" s="2">
        <f>MCWaterSavings!B75/MCWaterBefore!B75</f>
        <v>0</v>
      </c>
      <c r="B76" s="2">
        <f>MCWaterSavings!C75/MCWaterBefore!C75</f>
        <v>0.38461538461538469</v>
      </c>
      <c r="C76" s="2">
        <f>MCWaterSavings!D75/MCWaterBefore!D75</f>
        <v>0.31818181818181845</v>
      </c>
      <c r="D76" s="2">
        <f>MCWaterSavings!E75/MCWaterBefore!E75</f>
        <v>0.4</v>
      </c>
      <c r="E76" s="2">
        <f>MCWaterSavings!F75/MCWaterBefore!F75</f>
        <v>0</v>
      </c>
      <c r="F76" s="2">
        <f>MCWaterSavings!G75/MCWaterBefore!G75</f>
        <v>0.46832277894999996</v>
      </c>
    </row>
    <row r="77" spans="1:6" x14ac:dyDescent="0.35">
      <c r="A77" s="2">
        <f>MCWaterSavings!B76/MCWaterBefore!B76</f>
        <v>0.49523809523809526</v>
      </c>
      <c r="B77" s="2">
        <f>MCWaterSavings!C76/MCWaterBefore!C76</f>
        <v>0.38461538461538464</v>
      </c>
      <c r="C77" s="2">
        <f>MCWaterSavings!D76/MCWaterBefore!D76</f>
        <v>0.4</v>
      </c>
      <c r="D77" s="2">
        <f>MCWaterSavings!E76/MCWaterBefore!E76</f>
        <v>0.4</v>
      </c>
      <c r="E77" s="2">
        <f>MCWaterSavings!F76/MCWaterBefore!F76</f>
        <v>0</v>
      </c>
      <c r="F77" s="2">
        <f>MCWaterSavings!G76/MCWaterBefore!G76</f>
        <v>0</v>
      </c>
    </row>
    <row r="78" spans="1:6" x14ac:dyDescent="0.35">
      <c r="A78" s="2">
        <f>MCWaterSavings!B77/MCWaterBefore!B77</f>
        <v>0.55462184873949583</v>
      </c>
      <c r="B78" s="2">
        <f>MCWaterSavings!C77/MCWaterBefore!C77</f>
        <v>0.38461538461538469</v>
      </c>
      <c r="C78" s="2">
        <f>MCWaterSavings!D77/MCWaterBefore!D77</f>
        <v>0.31818181818181829</v>
      </c>
      <c r="D78" s="2">
        <f>MCWaterSavings!E77/MCWaterBefore!E77</f>
        <v>0.4</v>
      </c>
      <c r="E78" s="2">
        <f>MCWaterSavings!F77/MCWaterBefore!F77</f>
        <v>0.3999999999999998</v>
      </c>
      <c r="F78" s="2">
        <f>MCWaterSavings!G77/MCWaterBefore!G77</f>
        <v>0.60157922260000007</v>
      </c>
    </row>
    <row r="79" spans="1:6" x14ac:dyDescent="0.35">
      <c r="A79" s="2">
        <f>MCWaterSavings!B78/MCWaterBefore!B78</f>
        <v>0.29090909090909095</v>
      </c>
      <c r="B79" s="2">
        <f>MCWaterSavings!C78/MCWaterBefore!C78</f>
        <v>0.38461538461538469</v>
      </c>
      <c r="C79" s="2">
        <f>MCWaterSavings!D78/MCWaterBefore!D78</f>
        <v>1.3113614040414219E-16</v>
      </c>
      <c r="D79" s="2">
        <f>MCWaterSavings!E78/MCWaterBefore!E78</f>
        <v>0.4</v>
      </c>
      <c r="E79" s="2">
        <f>MCWaterSavings!F78/MCWaterBefore!F78</f>
        <v>0.40000000000000008</v>
      </c>
      <c r="F79" s="2">
        <f>MCWaterSavings!G78/MCWaterBefore!G78</f>
        <v>0.4096711589999999</v>
      </c>
    </row>
    <row r="80" spans="1:6" x14ac:dyDescent="0.35">
      <c r="A80" s="2">
        <f>MCWaterSavings!B79/MCWaterBefore!B79</f>
        <v>0</v>
      </c>
      <c r="B80" s="2">
        <f>MCWaterSavings!C79/MCWaterBefore!C79</f>
        <v>0.38461538461538464</v>
      </c>
      <c r="C80" s="2">
        <f>MCWaterSavings!D79/MCWaterBefore!D79</f>
        <v>0.31818181818181829</v>
      </c>
      <c r="D80" s="2">
        <f>MCWaterSavings!E79/MCWaterBefore!E79</f>
        <v>0</v>
      </c>
      <c r="E80" s="2">
        <f>MCWaterSavings!F79/MCWaterBefore!F79</f>
        <v>0</v>
      </c>
      <c r="F80" s="2">
        <f>MCWaterSavings!G79/MCWaterBefore!G79</f>
        <v>-1.3034571009179974E-16</v>
      </c>
    </row>
    <row r="81" spans="1:6" x14ac:dyDescent="0.35">
      <c r="A81" s="2">
        <f>MCWaterSavings!B80/MCWaterBefore!B80</f>
        <v>0.40000000000000008</v>
      </c>
      <c r="B81" s="2">
        <f>MCWaterSavings!C80/MCWaterBefore!C80</f>
        <v>0</v>
      </c>
      <c r="C81" s="2">
        <f>MCWaterSavings!D80/MCWaterBefore!D80</f>
        <v>0.40000000000000013</v>
      </c>
      <c r="D81" s="2">
        <f>MCWaterSavings!E80/MCWaterBefore!E80</f>
        <v>0</v>
      </c>
      <c r="E81" s="2">
        <f>MCWaterSavings!F80/MCWaterBefore!F80</f>
        <v>0</v>
      </c>
      <c r="F81" s="2">
        <f>MCWaterSavings!G80/MCWaterBefore!G80</f>
        <v>0</v>
      </c>
    </row>
    <row r="82" spans="1:6" x14ac:dyDescent="0.35">
      <c r="A82" s="2">
        <f>MCWaterSavings!B81/MCWaterBefore!B81</f>
        <v>0.5714285714285714</v>
      </c>
      <c r="B82" s="2">
        <f>MCWaterSavings!C81/MCWaterBefore!C81</f>
        <v>0.38461538461538453</v>
      </c>
      <c r="C82" s="2">
        <f>MCWaterSavings!D81/MCWaterBefore!D81</f>
        <v>0.59090909090909105</v>
      </c>
      <c r="D82" s="2">
        <f>MCWaterSavings!E81/MCWaterBefore!E81</f>
        <v>0.4</v>
      </c>
      <c r="E82" s="2">
        <f>MCWaterSavings!F81/MCWaterBefore!F81</f>
        <v>0.3999999999999998</v>
      </c>
      <c r="F82" s="2">
        <f>MCWaterSavings!G81/MCWaterBefore!G81</f>
        <v>0</v>
      </c>
    </row>
    <row r="83" spans="1:6" x14ac:dyDescent="0.35">
      <c r="A83" s="2">
        <f>MCWaterSavings!B82/MCWaterBefore!B82</f>
        <v>0.4</v>
      </c>
      <c r="B83" s="2">
        <f>MCWaterSavings!C82/MCWaterBefore!C82</f>
        <v>0</v>
      </c>
      <c r="C83" s="2">
        <f>MCWaterSavings!D82/MCWaterBefore!D82</f>
        <v>0</v>
      </c>
      <c r="D83" s="2">
        <f>MCWaterSavings!E82/MCWaterBefore!E82</f>
        <v>0</v>
      </c>
      <c r="E83" s="2">
        <f>MCWaterSavings!F82/MCWaterBefore!F82</f>
        <v>0.40000000000000008</v>
      </c>
      <c r="F83" s="2">
        <f>MCWaterSavings!G82/MCWaterBefore!G82</f>
        <v>0</v>
      </c>
    </row>
    <row r="84" spans="1:6" x14ac:dyDescent="0.35">
      <c r="A84" s="2">
        <f>MCWaterSavings!B83/MCWaterBefore!B83</f>
        <v>0.48847926267281117</v>
      </c>
      <c r="B84" s="2">
        <f>MCWaterSavings!C83/MCWaterBefore!C83</f>
        <v>0.38461538461538464</v>
      </c>
      <c r="C84" s="2">
        <f>MCWaterSavings!D83/MCWaterBefore!D83</f>
        <v>0.4</v>
      </c>
      <c r="D84" s="2">
        <f>MCWaterSavings!E83/MCWaterBefore!E83</f>
        <v>0.4</v>
      </c>
      <c r="E84" s="2">
        <f>MCWaterSavings!F83/MCWaterBefore!F83</f>
        <v>0.4</v>
      </c>
      <c r="F84" s="2">
        <f>MCWaterSavings!G83/MCWaterBefore!G83</f>
        <v>0</v>
      </c>
    </row>
    <row r="85" spans="1:6" x14ac:dyDescent="0.35">
      <c r="A85" s="2">
        <f>MCWaterSavings!B84/MCWaterBefore!B84</f>
        <v>0</v>
      </c>
      <c r="B85" s="2">
        <f>MCWaterSavings!C84/MCWaterBefore!C84</f>
        <v>0</v>
      </c>
      <c r="C85" s="2">
        <f>MCWaterSavings!D84/MCWaterBefore!D84</f>
        <v>0.40000000000000008</v>
      </c>
      <c r="D85" s="2">
        <f>MCWaterSavings!E84/MCWaterBefore!E84</f>
        <v>0.4</v>
      </c>
      <c r="E85" s="2">
        <f>MCWaterSavings!F84/MCWaterBefore!F84</f>
        <v>0</v>
      </c>
      <c r="F85" s="2">
        <f>MCWaterSavings!G84/MCWaterBefore!G84</f>
        <v>0</v>
      </c>
    </row>
    <row r="86" spans="1:6" x14ac:dyDescent="0.35">
      <c r="A86" s="2">
        <f>MCWaterSavings!B85/MCWaterBefore!B85</f>
        <v>0.4</v>
      </c>
      <c r="B86" s="2">
        <f>MCWaterSavings!C85/MCWaterBefore!C85</f>
        <v>0.38461538461538464</v>
      </c>
      <c r="C86" s="2">
        <f>MCWaterSavings!D85/MCWaterBefore!D85</f>
        <v>0.31818181818181845</v>
      </c>
      <c r="D86" s="2">
        <f>MCWaterSavings!E85/MCWaterBefore!E85</f>
        <v>0</v>
      </c>
      <c r="E86" s="2">
        <f>MCWaterSavings!F85/MCWaterBefore!F85</f>
        <v>0.40000000000000008</v>
      </c>
      <c r="F86" s="2">
        <f>MCWaterSavings!G85/MCWaterBefore!G85</f>
        <v>0</v>
      </c>
    </row>
    <row r="87" spans="1:6" x14ac:dyDescent="0.35">
      <c r="A87" s="2">
        <f>MCWaterSavings!B86/MCWaterBefore!B86</f>
        <v>0.2857142857142857</v>
      </c>
      <c r="B87" s="2">
        <f>MCWaterSavings!C86/MCWaterBefore!C86</f>
        <v>0.38461538461538469</v>
      </c>
      <c r="C87" s="2">
        <f>MCWaterSavings!D86/MCWaterBefore!D86</f>
        <v>0</v>
      </c>
      <c r="D87" s="2">
        <f>MCWaterSavings!E86/MCWaterBefore!E86</f>
        <v>0.4</v>
      </c>
      <c r="E87" s="2">
        <f>MCWaterSavings!F86/MCWaterBefore!F86</f>
        <v>-1.2743375392642965E-16</v>
      </c>
      <c r="F87" s="2">
        <f>MCWaterSavings!G86/MCWaterBefore!G86</f>
        <v>0</v>
      </c>
    </row>
    <row r="88" spans="1:6" x14ac:dyDescent="0.35">
      <c r="A88" s="2">
        <f>MCWaterSavings!B87/MCWaterBefore!B87</f>
        <v>0.2857142857142857</v>
      </c>
      <c r="B88" s="2">
        <f>MCWaterSavings!C87/MCWaterBefore!C87</f>
        <v>0.38461538461538464</v>
      </c>
      <c r="C88" s="2">
        <f>MCWaterSavings!D87/MCWaterBefore!D87</f>
        <v>0.59090909090909105</v>
      </c>
      <c r="D88" s="2">
        <f>MCWaterSavings!E87/MCWaterBefore!E87</f>
        <v>0.4</v>
      </c>
      <c r="E88" s="2">
        <f>MCWaterSavings!F87/MCWaterBefore!F87</f>
        <v>0</v>
      </c>
      <c r="F88" s="2">
        <f>MCWaterSavings!G87/MCWaterBefore!G87</f>
        <v>0</v>
      </c>
    </row>
    <row r="89" spans="1:6" x14ac:dyDescent="0.35">
      <c r="A89" s="2">
        <f>MCWaterSavings!B88/MCWaterBefore!B88</f>
        <v>0.4</v>
      </c>
      <c r="B89" s="2">
        <f>MCWaterSavings!C88/MCWaterBefore!C88</f>
        <v>0.38461538461538464</v>
      </c>
      <c r="C89" s="2">
        <f>MCWaterSavings!D88/MCWaterBefore!D88</f>
        <v>0</v>
      </c>
      <c r="D89" s="2">
        <f>MCWaterSavings!E88/MCWaterBefore!E88</f>
        <v>0.40000000000000008</v>
      </c>
      <c r="E89" s="2">
        <f>MCWaterSavings!F88/MCWaterBefore!F88</f>
        <v>0</v>
      </c>
      <c r="F89" s="2">
        <f>MCWaterSavings!G88/MCWaterBefore!G88</f>
        <v>0.41871499050000011</v>
      </c>
    </row>
    <row r="90" spans="1:6" x14ac:dyDescent="0.35">
      <c r="A90" s="2">
        <f>MCWaterSavings!B89/MCWaterBefore!B89</f>
        <v>0.45793103448275879</v>
      </c>
      <c r="B90" s="2">
        <f>MCWaterSavings!C89/MCWaterBefore!C89</f>
        <v>0.38461538461538464</v>
      </c>
      <c r="C90" s="2">
        <f>MCWaterSavings!D89/MCWaterBefore!D89</f>
        <v>0.31818181818181845</v>
      </c>
      <c r="D90" s="2">
        <f>MCWaterSavings!E89/MCWaterBefore!E89</f>
        <v>0.4</v>
      </c>
      <c r="E90" s="2">
        <f>MCWaterSavings!F89/MCWaterBefore!F89</f>
        <v>0</v>
      </c>
      <c r="F90" s="2">
        <f>MCWaterSavings!G89/MCWaterBefore!G89</f>
        <v>0.59901649265000001</v>
      </c>
    </row>
    <row r="91" spans="1:6" x14ac:dyDescent="0.35">
      <c r="A91" s="2">
        <f>MCWaterSavings!B90/MCWaterBefore!B90</f>
        <v>0.56000000000000005</v>
      </c>
      <c r="B91" s="2">
        <f>MCWaterSavings!C90/MCWaterBefore!C90</f>
        <v>1.4544933660209948E-16</v>
      </c>
      <c r="C91" s="2">
        <f>MCWaterSavings!D90/MCWaterBefore!D90</f>
        <v>0</v>
      </c>
      <c r="D91" s="2">
        <f>MCWaterSavings!E90/MCWaterBefore!E90</f>
        <v>0.4</v>
      </c>
      <c r="E91" s="2">
        <f>MCWaterSavings!F90/MCWaterBefore!F90</f>
        <v>0.40000000000000008</v>
      </c>
      <c r="F91" s="2">
        <f>MCWaterSavings!G90/MCWaterBefore!G90</f>
        <v>0.58528545885000005</v>
      </c>
    </row>
    <row r="92" spans="1:6" x14ac:dyDescent="0.35">
      <c r="A92" s="2">
        <f>MCWaterSavings!B91/MCWaterBefore!B91</f>
        <v>0</v>
      </c>
      <c r="B92" s="2">
        <f>MCWaterSavings!C91/MCWaterBefore!C91</f>
        <v>0</v>
      </c>
      <c r="C92" s="2">
        <f>MCWaterSavings!D91/MCWaterBefore!D91</f>
        <v>0.31818181818181818</v>
      </c>
      <c r="D92" s="2">
        <f>MCWaterSavings!E91/MCWaterBefore!E91</f>
        <v>0</v>
      </c>
      <c r="E92" s="2">
        <f>MCWaterSavings!F91/MCWaterBefore!F91</f>
        <v>0</v>
      </c>
      <c r="F92" s="2">
        <f>MCWaterSavings!G91/MCWaterBefore!G91</f>
        <v>0</v>
      </c>
    </row>
    <row r="93" spans="1:6" x14ac:dyDescent="0.35">
      <c r="A93" s="2">
        <f>MCWaterSavings!B92/MCWaterBefore!B92</f>
        <v>0.5714285714285714</v>
      </c>
      <c r="B93" s="2">
        <f>MCWaterSavings!C92/MCWaterBefore!C92</f>
        <v>0.38461538461538464</v>
      </c>
      <c r="C93" s="2">
        <f>MCWaterSavings!D92/MCWaterBefore!D92</f>
        <v>0.4</v>
      </c>
      <c r="D93" s="2">
        <f>MCWaterSavings!E92/MCWaterBefore!E92</f>
        <v>0.40000000000000008</v>
      </c>
      <c r="E93" s="2">
        <f>MCWaterSavings!F92/MCWaterBefore!F92</f>
        <v>0</v>
      </c>
      <c r="F93" s="2">
        <f>MCWaterSavings!G92/MCWaterBefore!G92</f>
        <v>0</v>
      </c>
    </row>
    <row r="94" spans="1:6" x14ac:dyDescent="0.35">
      <c r="A94" s="2">
        <f>MCWaterSavings!B93/MCWaterBefore!B93</f>
        <v>0.63249999999999995</v>
      </c>
      <c r="B94" s="2">
        <f>MCWaterSavings!C93/MCWaterBefore!C93</f>
        <v>0.38461538461538464</v>
      </c>
      <c r="C94" s="2">
        <f>MCWaterSavings!D93/MCWaterBefore!D93</f>
        <v>0</v>
      </c>
      <c r="D94" s="2">
        <f>MCWaterSavings!E93/MCWaterBefore!E93</f>
        <v>0.58064516129032262</v>
      </c>
      <c r="E94" s="2">
        <f>MCWaterSavings!F93/MCWaterBefore!F93</f>
        <v>0.4</v>
      </c>
      <c r="F94" s="2">
        <f>MCWaterSavings!G93/MCWaterBefore!G93</f>
        <v>0</v>
      </c>
    </row>
    <row r="95" spans="1:6" x14ac:dyDescent="0.35">
      <c r="A95" s="2">
        <f>MCWaterSavings!B94/MCWaterBefore!B94</f>
        <v>0.2857142857142857</v>
      </c>
      <c r="B95" s="2">
        <f>MCWaterSavings!C94/MCWaterBefore!C94</f>
        <v>0</v>
      </c>
      <c r="C95" s="2">
        <f>MCWaterSavings!D94/MCWaterBefore!D94</f>
        <v>0.40000000000000008</v>
      </c>
      <c r="D95" s="2">
        <f>MCWaterSavings!E94/MCWaterBefore!E94</f>
        <v>0</v>
      </c>
      <c r="E95" s="2">
        <f>MCWaterSavings!F94/MCWaterBefore!F94</f>
        <v>0</v>
      </c>
      <c r="F95" s="2">
        <f>MCWaterSavings!G94/MCWaterBefore!G94</f>
        <v>0.22750307509999981</v>
      </c>
    </row>
    <row r="96" spans="1:6" x14ac:dyDescent="0.35">
      <c r="A96" s="2">
        <f>MCWaterSavings!B95/MCWaterBefore!B95</f>
        <v>0.57142857142857151</v>
      </c>
      <c r="B96" s="2">
        <f>MCWaterSavings!C95/MCWaterBefore!C95</f>
        <v>0.38461538461538464</v>
      </c>
      <c r="C96" s="2">
        <f>MCWaterSavings!D95/MCWaterBefore!D95</f>
        <v>0.31818181818181829</v>
      </c>
      <c r="D96" s="2">
        <f>MCWaterSavings!E95/MCWaterBefore!E95</f>
        <v>0.4</v>
      </c>
      <c r="E96" s="2">
        <f>MCWaterSavings!F95/MCWaterBefore!F95</f>
        <v>0</v>
      </c>
      <c r="F96" s="2">
        <f>MCWaterSavings!G95/MCWaterBefore!G95</f>
        <v>0.63922550984999993</v>
      </c>
    </row>
    <row r="97" spans="1:6" x14ac:dyDescent="0.35">
      <c r="A97" s="2">
        <f>MCWaterSavings!B96/MCWaterBefore!B96</f>
        <v>0.2857142857142857</v>
      </c>
      <c r="B97" s="2">
        <f>MCWaterSavings!C96/MCWaterBefore!C96</f>
        <v>0.38461538461538464</v>
      </c>
      <c r="C97" s="2">
        <f>MCWaterSavings!D96/MCWaterBefore!D96</f>
        <v>1.4790936766513712E-16</v>
      </c>
      <c r="D97" s="2">
        <f>MCWaterSavings!E96/MCWaterBefore!E96</f>
        <v>0</v>
      </c>
      <c r="E97" s="2">
        <f>MCWaterSavings!F96/MCWaterBefore!F96</f>
        <v>0.40000000000000008</v>
      </c>
      <c r="F97" s="2">
        <f>MCWaterSavings!G96/MCWaterBefore!G96</f>
        <v>0</v>
      </c>
    </row>
    <row r="98" spans="1:6" x14ac:dyDescent="0.35">
      <c r="A98" s="2">
        <f>MCWaterSavings!B97/MCWaterBefore!B97</f>
        <v>0.51142857142857145</v>
      </c>
      <c r="B98" s="2">
        <f>MCWaterSavings!C97/MCWaterBefore!C97</f>
        <v>1.4948959595215781E-16</v>
      </c>
      <c r="C98" s="2">
        <f>MCWaterSavings!D97/MCWaterBefore!D97</f>
        <v>0.59090909090909105</v>
      </c>
      <c r="D98" s="2">
        <f>MCWaterSavings!E97/MCWaterBefore!E97</f>
        <v>0.40000000000000013</v>
      </c>
      <c r="E98" s="2">
        <f>MCWaterSavings!F97/MCWaterBefore!F97</f>
        <v>0</v>
      </c>
      <c r="F98" s="2">
        <f>MCWaterSavings!G97/MCWaterBefore!G97</f>
        <v>0</v>
      </c>
    </row>
    <row r="99" spans="1:6" x14ac:dyDescent="0.35">
      <c r="A99" s="2">
        <f>MCWaterSavings!B98/MCWaterBefore!B98</f>
        <v>0</v>
      </c>
      <c r="B99" s="2">
        <f>MCWaterSavings!C98/MCWaterBefore!C98</f>
        <v>0.38461538461538453</v>
      </c>
      <c r="C99" s="2">
        <f>MCWaterSavings!D98/MCWaterBefore!D98</f>
        <v>0.59090909090909094</v>
      </c>
      <c r="D99" s="2">
        <f>MCWaterSavings!E98/MCWaterBefore!E98</f>
        <v>0</v>
      </c>
      <c r="E99" s="2">
        <f>MCWaterSavings!F98/MCWaterBefore!F98</f>
        <v>0</v>
      </c>
      <c r="F99" s="2">
        <f>MCWaterSavings!G98/MCWaterBefore!G98</f>
        <v>0</v>
      </c>
    </row>
    <row r="100" spans="1:6" x14ac:dyDescent="0.35">
      <c r="A100" s="2">
        <f>MCWaterSavings!B99/MCWaterBefore!B99</f>
        <v>0</v>
      </c>
      <c r="B100" s="2">
        <f>MCWaterSavings!C99/MCWaterBefore!C99</f>
        <v>0.38461538461538464</v>
      </c>
      <c r="C100" s="2">
        <f>MCWaterSavings!D99/MCWaterBefore!D99</f>
        <v>0</v>
      </c>
      <c r="D100" s="2">
        <f>MCWaterSavings!E99/MCWaterBefore!E99</f>
        <v>0.4</v>
      </c>
      <c r="E100" s="2">
        <f>MCWaterSavings!F99/MCWaterBefore!F99</f>
        <v>0</v>
      </c>
      <c r="F100" s="2">
        <f>MCWaterSavings!G99/MCWaterBefore!G99</f>
        <v>0.23206543949999994</v>
      </c>
    </row>
    <row r="101" spans="1:6" x14ac:dyDescent="0.35">
      <c r="A101" s="2">
        <f>MCWaterSavings!B100/MCWaterBefore!B100</f>
        <v>0.64</v>
      </c>
      <c r="B101" s="2">
        <f>MCWaterSavings!C100/MCWaterBefore!C100</f>
        <v>0.38461538461538464</v>
      </c>
      <c r="C101" s="2">
        <f>MCWaterSavings!D100/MCWaterBefore!D100</f>
        <v>0.59090909090909105</v>
      </c>
      <c r="D101" s="2">
        <f>MCWaterSavings!E100/MCWaterBefore!E100</f>
        <v>0.4</v>
      </c>
      <c r="E101" s="2">
        <f>MCWaterSavings!F100/MCWaterBefore!F100</f>
        <v>0</v>
      </c>
      <c r="F101" s="2">
        <f>MCWaterSavings!G100/MCWaterBefore!G100</f>
        <v>0</v>
      </c>
    </row>
    <row r="102" spans="1:6" x14ac:dyDescent="0.35">
      <c r="A102" s="2">
        <f>MCWaterSavings!B101/MCWaterBefore!B101</f>
        <v>0.68262548262548262</v>
      </c>
      <c r="B102" s="2">
        <f>MCWaterSavings!C101/MCWaterBefore!C101</f>
        <v>1.7360082110573164E-16</v>
      </c>
      <c r="C102" s="2">
        <f>MCWaterSavings!D101/MCWaterBefore!D101</f>
        <v>0.40000000000000008</v>
      </c>
      <c r="D102" s="2">
        <f>MCWaterSavings!E101/MCWaterBefore!E101</f>
        <v>0.4</v>
      </c>
      <c r="E102" s="2">
        <f>MCWaterSavings!F101/MCWaterBefore!F101</f>
        <v>0.4</v>
      </c>
      <c r="F102" s="2">
        <f>MCWaterSavings!G101/MCWaterBefore!G101</f>
        <v>0</v>
      </c>
    </row>
    <row r="103" spans="1:6" x14ac:dyDescent="0.35">
      <c r="A103" s="2">
        <f>MCWaterSavings!B102/MCWaterBefore!B102</f>
        <v>0.4</v>
      </c>
      <c r="B103" s="2">
        <f>MCWaterSavings!C102/MCWaterBefore!C102</f>
        <v>0.38461538461538464</v>
      </c>
      <c r="C103" s="2">
        <f>MCWaterSavings!D102/MCWaterBefore!D102</f>
        <v>0.31818181818181818</v>
      </c>
      <c r="D103" s="2">
        <f>MCWaterSavings!E102/MCWaterBefore!E102</f>
        <v>0.40000000000000008</v>
      </c>
      <c r="E103" s="2">
        <f>MCWaterSavings!F102/MCWaterBefore!F102</f>
        <v>-1.2743375392642965E-16</v>
      </c>
      <c r="F103" s="2">
        <f>MCWaterSavings!G102/MCWaterBefore!G102</f>
        <v>0.4019893959000001</v>
      </c>
    </row>
    <row r="104" spans="1:6" x14ac:dyDescent="0.35">
      <c r="A104" s="2">
        <f>MCWaterSavings!B103/MCWaterBefore!B103</f>
        <v>0.74285714285714277</v>
      </c>
      <c r="B104" s="2">
        <f>MCWaterSavings!C103/MCWaterBefore!C103</f>
        <v>1.3624368238677674E-16</v>
      </c>
      <c r="C104" s="2">
        <f>MCWaterSavings!D103/MCWaterBefore!D103</f>
        <v>0.4</v>
      </c>
      <c r="D104" s="2">
        <f>MCWaterSavings!E103/MCWaterBefore!E103</f>
        <v>0.40000000000000008</v>
      </c>
      <c r="E104" s="2">
        <f>MCWaterSavings!F103/MCWaterBefore!F103</f>
        <v>0.40000000000000008</v>
      </c>
      <c r="F104" s="2">
        <f>MCWaterSavings!G103/MCWaterBefore!G103</f>
        <v>0.56776874810000011</v>
      </c>
    </row>
    <row r="105" spans="1:6" x14ac:dyDescent="0.35">
      <c r="A105" s="2">
        <f>MCWaterSavings!B104/MCWaterBefore!B104</f>
        <v>0.5714285714285714</v>
      </c>
      <c r="B105" s="2">
        <f>MCWaterSavings!C104/MCWaterBefore!C104</f>
        <v>1.6817579544617753E-16</v>
      </c>
      <c r="C105" s="2">
        <f>MCWaterSavings!D104/MCWaterBefore!D104</f>
        <v>0.4</v>
      </c>
      <c r="D105" s="2">
        <f>MCWaterSavings!E104/MCWaterBefore!E104</f>
        <v>0.4</v>
      </c>
      <c r="E105" s="2">
        <f>MCWaterSavings!F104/MCWaterBefore!F104</f>
        <v>0.40000000000000008</v>
      </c>
      <c r="F105" s="2">
        <f>MCWaterSavings!G104/MCWaterBefore!G104</f>
        <v>0</v>
      </c>
    </row>
    <row r="106" spans="1:6" x14ac:dyDescent="0.35">
      <c r="A106" s="2">
        <f>MCWaterSavings!B105/MCWaterBefore!B105</f>
        <v>0.40000000000000019</v>
      </c>
      <c r="B106" s="2">
        <f>MCWaterSavings!C105/MCWaterBefore!C105</f>
        <v>0.38461538461538469</v>
      </c>
      <c r="C106" s="2">
        <f>MCWaterSavings!D105/MCWaterBefore!D105</f>
        <v>0.31818181818181829</v>
      </c>
      <c r="D106" s="2">
        <f>MCWaterSavings!E105/MCWaterBefore!E105</f>
        <v>0.40000000000000008</v>
      </c>
      <c r="E106" s="2">
        <f>MCWaterSavings!F105/MCWaterBefore!F105</f>
        <v>0.40000000000000008</v>
      </c>
      <c r="F106" s="2">
        <f>MCWaterSavings!G105/MCWaterBefore!G105</f>
        <v>0</v>
      </c>
    </row>
    <row r="107" spans="1:6" x14ac:dyDescent="0.35">
      <c r="A107" s="2">
        <f>MCWaterSavings!B106/MCWaterBefore!B106</f>
        <v>0.28571428571428553</v>
      </c>
      <c r="B107" s="2">
        <f>MCWaterSavings!C106/MCWaterBefore!C106</f>
        <v>0</v>
      </c>
      <c r="C107" s="2">
        <f>MCWaterSavings!D106/MCWaterBefore!D106</f>
        <v>0.59090909090909094</v>
      </c>
      <c r="D107" s="2">
        <f>MCWaterSavings!E106/MCWaterBefore!E106</f>
        <v>0.4</v>
      </c>
      <c r="E107" s="2">
        <f>MCWaterSavings!F106/MCWaterBefore!F106</f>
        <v>0.40000000000000008</v>
      </c>
      <c r="F107" s="2">
        <f>MCWaterSavings!G106/MCWaterBefore!G106</f>
        <v>0.50086453819999999</v>
      </c>
    </row>
    <row r="108" spans="1:6" x14ac:dyDescent="0.35">
      <c r="A108" s="2">
        <f>MCWaterSavings!B107/MCWaterBefore!B107</f>
        <v>0</v>
      </c>
      <c r="B108" s="2">
        <f>MCWaterSavings!C107/MCWaterBefore!C107</f>
        <v>1.4948959595215781E-16</v>
      </c>
      <c r="C108" s="2">
        <f>MCWaterSavings!D107/MCWaterBefore!D107</f>
        <v>0.31818181818181829</v>
      </c>
      <c r="D108" s="2">
        <f>MCWaterSavings!E107/MCWaterBefore!E107</f>
        <v>0.4</v>
      </c>
      <c r="E108" s="2">
        <f>MCWaterSavings!F107/MCWaterBefore!F107</f>
        <v>0.3999999999999998</v>
      </c>
      <c r="F108" s="2">
        <f>MCWaterSavings!G107/MCWaterBefore!G107</f>
        <v>0.54154709165000003</v>
      </c>
    </row>
    <row r="109" spans="1:6" x14ac:dyDescent="0.35">
      <c r="A109" s="2">
        <f>MCWaterSavings!B108/MCWaterBefore!B108</f>
        <v>0.40000000000000008</v>
      </c>
      <c r="B109" s="2">
        <f>MCWaterSavings!C108/MCWaterBefore!C108</f>
        <v>0</v>
      </c>
      <c r="C109" s="2">
        <f>MCWaterSavings!D108/MCWaterBefore!D108</f>
        <v>0.31818181818181829</v>
      </c>
      <c r="D109" s="2">
        <f>MCWaterSavings!E108/MCWaterBefore!E108</f>
        <v>0</v>
      </c>
      <c r="E109" s="2">
        <f>MCWaterSavings!F108/MCWaterBefore!F108</f>
        <v>0</v>
      </c>
      <c r="F109" s="2">
        <f>MCWaterSavings!G108/MCWaterBefore!G108</f>
        <v>0.56754259910000004</v>
      </c>
    </row>
    <row r="110" spans="1:6" x14ac:dyDescent="0.35">
      <c r="A110" s="2">
        <f>MCWaterSavings!B109/MCWaterBefore!B109</f>
        <v>0.4</v>
      </c>
      <c r="B110" s="2">
        <f>MCWaterSavings!C109/MCWaterBefore!C109</f>
        <v>0</v>
      </c>
      <c r="C110" s="2">
        <f>MCWaterSavings!D109/MCWaterBefore!D109</f>
        <v>0.31818181818181829</v>
      </c>
      <c r="D110" s="2">
        <f>MCWaterSavings!E109/MCWaterBefore!E109</f>
        <v>0.40000000000000008</v>
      </c>
      <c r="E110" s="2">
        <f>MCWaterSavings!F109/MCWaterBefore!F109</f>
        <v>0</v>
      </c>
      <c r="F110" s="2">
        <f>MCWaterSavings!G109/MCWaterBefore!G109</f>
        <v>0.33898592789999987</v>
      </c>
    </row>
    <row r="111" spans="1:6" x14ac:dyDescent="0.35">
      <c r="A111" s="2">
        <f>MCWaterSavings!B110/MCWaterBefore!B110</f>
        <v>0.38095238095238093</v>
      </c>
      <c r="B111" s="2">
        <f>MCWaterSavings!C110/MCWaterBefore!C110</f>
        <v>0.38461538461538464</v>
      </c>
      <c r="C111" s="2">
        <f>MCWaterSavings!D110/MCWaterBefore!D110</f>
        <v>0.59090909090909094</v>
      </c>
      <c r="D111" s="2">
        <f>MCWaterSavings!E110/MCWaterBefore!E110</f>
        <v>0.40000000000000008</v>
      </c>
      <c r="E111" s="2">
        <f>MCWaterSavings!F110/MCWaterBefore!F110</f>
        <v>0.4</v>
      </c>
      <c r="F111" s="2">
        <f>MCWaterSavings!G110/MCWaterBefore!G110</f>
        <v>0</v>
      </c>
    </row>
    <row r="112" spans="1:6" x14ac:dyDescent="0.35">
      <c r="A112" s="2">
        <f>MCWaterSavings!B111/MCWaterBefore!B111</f>
        <v>0.4</v>
      </c>
      <c r="B112" s="2">
        <f>MCWaterSavings!C111/MCWaterBefore!C111</f>
        <v>0.38461538461538464</v>
      </c>
      <c r="C112" s="2">
        <f>MCWaterSavings!D111/MCWaterBefore!D111</f>
        <v>0</v>
      </c>
      <c r="D112" s="2">
        <f>MCWaterSavings!E111/MCWaterBefore!E111</f>
        <v>0</v>
      </c>
      <c r="E112" s="2">
        <f>MCWaterSavings!F111/MCWaterBefore!F111</f>
        <v>0.40000000000000008</v>
      </c>
      <c r="F112" s="2">
        <f>MCWaterSavings!G111/MCWaterBefore!G111</f>
        <v>0</v>
      </c>
    </row>
    <row r="113" spans="1:6" x14ac:dyDescent="0.35">
      <c r="A113" s="2">
        <f>MCWaterSavings!B112/MCWaterBefore!B112</f>
        <v>0</v>
      </c>
      <c r="B113" s="2">
        <f>MCWaterSavings!C112/MCWaterBefore!C112</f>
        <v>0.38461538461538464</v>
      </c>
      <c r="C113" s="2">
        <f>MCWaterSavings!D112/MCWaterBefore!D112</f>
        <v>0.40000000000000019</v>
      </c>
      <c r="D113" s="2">
        <f>MCWaterSavings!E112/MCWaterBefore!E112</f>
        <v>0</v>
      </c>
      <c r="E113" s="2">
        <f>MCWaterSavings!F112/MCWaterBefore!F112</f>
        <v>-1.2743375392642965E-16</v>
      </c>
      <c r="F113" s="2">
        <f>MCWaterSavings!G112/MCWaterBefore!G112</f>
        <v>0</v>
      </c>
    </row>
    <row r="114" spans="1:6" x14ac:dyDescent="0.35">
      <c r="A114" s="2">
        <f>MCWaterSavings!B113/MCWaterBefore!B113</f>
        <v>0.25641025641025655</v>
      </c>
      <c r="B114" s="2">
        <f>MCWaterSavings!C113/MCWaterBefore!C113</f>
        <v>1.237155276845444E-16</v>
      </c>
      <c r="C114" s="2">
        <f>MCWaterSavings!D113/MCWaterBefore!D113</f>
        <v>0</v>
      </c>
      <c r="D114" s="2">
        <f>MCWaterSavings!E113/MCWaterBefore!E113</f>
        <v>0.40000000000000013</v>
      </c>
      <c r="E114" s="2">
        <f>MCWaterSavings!F113/MCWaterBefore!F113</f>
        <v>0</v>
      </c>
      <c r="F114" s="2">
        <f>MCWaterSavings!G113/MCWaterBefore!G113</f>
        <v>0</v>
      </c>
    </row>
    <row r="115" spans="1:6" x14ac:dyDescent="0.35">
      <c r="A115" s="2">
        <f>MCWaterSavings!B114/MCWaterBefore!B114</f>
        <v>0.5714285714285714</v>
      </c>
      <c r="B115" s="2">
        <f>MCWaterSavings!C114/MCWaterBefore!C114</f>
        <v>0.38461538461538464</v>
      </c>
      <c r="C115" s="2">
        <f>MCWaterSavings!D114/MCWaterBefore!D114</f>
        <v>0</v>
      </c>
      <c r="D115" s="2">
        <f>MCWaterSavings!E114/MCWaterBefore!E114</f>
        <v>0.4</v>
      </c>
      <c r="E115" s="2">
        <f>MCWaterSavings!F114/MCWaterBefore!F114</f>
        <v>0.4</v>
      </c>
      <c r="F115" s="2">
        <f>MCWaterSavings!G114/MCWaterBefore!G114</f>
        <v>0.37632257394999996</v>
      </c>
    </row>
    <row r="116" spans="1:6" x14ac:dyDescent="0.35">
      <c r="A116" s="2">
        <f>MCWaterSavings!B115/MCWaterBefore!B115</f>
        <v>0.40000000000000019</v>
      </c>
      <c r="B116" s="2">
        <f>MCWaterSavings!C115/MCWaterBefore!C115</f>
        <v>1.2813393938756385E-16</v>
      </c>
      <c r="C116" s="2">
        <f>MCWaterSavings!D115/MCWaterBefore!D115</f>
        <v>0.31818181818181829</v>
      </c>
      <c r="D116" s="2">
        <f>MCWaterSavings!E115/MCWaterBefore!E115</f>
        <v>0</v>
      </c>
      <c r="E116" s="2">
        <f>MCWaterSavings!F115/MCWaterBefore!F115</f>
        <v>0</v>
      </c>
      <c r="F116" s="2">
        <f>MCWaterSavings!G115/MCWaterBefore!G115</f>
        <v>0</v>
      </c>
    </row>
    <row r="117" spans="1:6" x14ac:dyDescent="0.35">
      <c r="A117" s="2">
        <f>MCWaterSavings!B116/MCWaterBefore!B116</f>
        <v>0</v>
      </c>
      <c r="B117" s="2">
        <f>MCWaterSavings!C116/MCWaterBefore!C116</f>
        <v>0.38461538461538453</v>
      </c>
      <c r="C117" s="2">
        <f>MCWaterSavings!D116/MCWaterBefore!D116</f>
        <v>0.40000000000000008</v>
      </c>
      <c r="D117" s="2">
        <f>MCWaterSavings!E116/MCWaterBefore!E116</f>
        <v>0</v>
      </c>
      <c r="E117" s="2">
        <f>MCWaterSavings!F116/MCWaterBefore!F116</f>
        <v>0.40000000000000008</v>
      </c>
      <c r="F117" s="2">
        <f>MCWaterSavings!G116/MCWaterBefore!G116</f>
        <v>0.66221824060000012</v>
      </c>
    </row>
    <row r="118" spans="1:6" x14ac:dyDescent="0.35">
      <c r="A118" s="2">
        <f>MCWaterSavings!B117/MCWaterBefore!B117</f>
        <v>0</v>
      </c>
      <c r="B118" s="2">
        <f>MCWaterSavings!C117/MCWaterBefore!C117</f>
        <v>0.38461538461538464</v>
      </c>
      <c r="C118" s="2">
        <f>MCWaterSavings!D117/MCWaterBefore!D117</f>
        <v>0.31818181818181834</v>
      </c>
      <c r="D118" s="2">
        <f>MCWaterSavings!E117/MCWaterBefore!E117</f>
        <v>0.4</v>
      </c>
      <c r="E118" s="2">
        <f>MCWaterSavings!F117/MCWaterBefore!F117</f>
        <v>0.4</v>
      </c>
      <c r="F118" s="2">
        <f>MCWaterSavings!G117/MCWaterBefore!G117</f>
        <v>0</v>
      </c>
    </row>
    <row r="119" spans="1:6" x14ac:dyDescent="0.35">
      <c r="A119" s="2">
        <f>MCWaterSavings!B118/MCWaterBefore!B118</f>
        <v>0.28571428571428581</v>
      </c>
      <c r="B119" s="2">
        <f>MCWaterSavings!C118/MCWaterBefore!C118</f>
        <v>1.6817579544617753E-16</v>
      </c>
      <c r="C119" s="2">
        <f>MCWaterSavings!D118/MCWaterBefore!D118</f>
        <v>1.5512445877075355E-16</v>
      </c>
      <c r="D119" s="2">
        <f>MCWaterSavings!E118/MCWaterBefore!E118</f>
        <v>0.4</v>
      </c>
      <c r="E119" s="2">
        <f>MCWaterSavings!F118/MCWaterBefore!F118</f>
        <v>0</v>
      </c>
      <c r="F119" s="2">
        <f>MCWaterSavings!G118/MCWaterBefore!G118</f>
        <v>0</v>
      </c>
    </row>
    <row r="120" spans="1:6" x14ac:dyDescent="0.35">
      <c r="A120" s="2">
        <f>MCWaterSavings!B119/MCWaterBefore!B119</f>
        <v>0.6901098901098901</v>
      </c>
      <c r="B120" s="2">
        <f>MCWaterSavings!C119/MCWaterBefore!C119</f>
        <v>0</v>
      </c>
      <c r="C120" s="2">
        <f>MCWaterSavings!D119/MCWaterBefore!D119</f>
        <v>0</v>
      </c>
      <c r="D120" s="2">
        <f>MCWaterSavings!E119/MCWaterBefore!E119</f>
        <v>0.58064516129032262</v>
      </c>
      <c r="E120" s="2">
        <f>MCWaterSavings!F119/MCWaterBefore!F119</f>
        <v>0.40000000000000008</v>
      </c>
      <c r="F120" s="2">
        <f>MCWaterSavings!G119/MCWaterBefore!G119</f>
        <v>0</v>
      </c>
    </row>
    <row r="121" spans="1:6" x14ac:dyDescent="0.35">
      <c r="A121" s="2">
        <f>MCWaterSavings!B120/MCWaterBefore!B120</f>
        <v>0.2857142857142857</v>
      </c>
      <c r="B121" s="2">
        <f>MCWaterSavings!C120/MCWaterBefore!C120</f>
        <v>0</v>
      </c>
      <c r="C121" s="2">
        <f>MCWaterSavings!D120/MCWaterBefore!D120</f>
        <v>1.4964947787296227E-16</v>
      </c>
      <c r="D121" s="2">
        <f>MCWaterSavings!E120/MCWaterBefore!E120</f>
        <v>0</v>
      </c>
      <c r="E121" s="2">
        <f>MCWaterSavings!F120/MCWaterBefore!F120</f>
        <v>0.40000000000000008</v>
      </c>
      <c r="F121" s="2">
        <f>MCWaterSavings!G120/MCWaterBefore!G120</f>
        <v>0</v>
      </c>
    </row>
    <row r="122" spans="1:6" x14ac:dyDescent="0.35">
      <c r="A122" s="2">
        <f>MCWaterSavings!B121/MCWaterBefore!B121</f>
        <v>0.74285714285714288</v>
      </c>
      <c r="B122" s="2">
        <f>MCWaterSavings!C121/MCWaterBefore!C121</f>
        <v>0.38461538461538464</v>
      </c>
      <c r="C122" s="2">
        <f>MCWaterSavings!D121/MCWaterBefore!D121</f>
        <v>0.4</v>
      </c>
      <c r="D122" s="2">
        <f>MCWaterSavings!E121/MCWaterBefore!E121</f>
        <v>0</v>
      </c>
      <c r="E122" s="2">
        <f>MCWaterSavings!F121/MCWaterBefore!F121</f>
        <v>-1.2743375392642965E-16</v>
      </c>
      <c r="F122" s="2">
        <f>MCWaterSavings!G121/MCWaterBefore!G121</f>
        <v>0.55219558884999997</v>
      </c>
    </row>
    <row r="123" spans="1:6" x14ac:dyDescent="0.35">
      <c r="A123" s="2">
        <f>MCWaterSavings!B122/MCWaterBefore!B122</f>
        <v>0.4</v>
      </c>
      <c r="B123" s="2">
        <f>MCWaterSavings!C122/MCWaterBefore!C122</f>
        <v>0.38461538461538464</v>
      </c>
      <c r="C123" s="2">
        <f>MCWaterSavings!D122/MCWaterBefore!D122</f>
        <v>0.4</v>
      </c>
      <c r="D123" s="2">
        <f>MCWaterSavings!E122/MCWaterBefore!E122</f>
        <v>0.40000000000000008</v>
      </c>
      <c r="E123" s="2">
        <f>MCWaterSavings!F122/MCWaterBefore!F122</f>
        <v>0</v>
      </c>
      <c r="F123" s="2">
        <f>MCWaterSavings!G122/MCWaterBefore!G122</f>
        <v>1.3200553479469337E-16</v>
      </c>
    </row>
    <row r="124" spans="1:6" x14ac:dyDescent="0.35">
      <c r="A124" s="2">
        <f>MCWaterSavings!B123/MCWaterBefore!B123</f>
        <v>0.64000000000000024</v>
      </c>
      <c r="B124" s="2">
        <f>MCWaterSavings!C123/MCWaterBefore!C123</f>
        <v>0</v>
      </c>
      <c r="C124" s="2">
        <f>MCWaterSavings!D123/MCWaterBefore!D123</f>
        <v>0.4</v>
      </c>
      <c r="D124" s="2">
        <f>MCWaterSavings!E123/MCWaterBefore!E123</f>
        <v>0.40000000000000008</v>
      </c>
      <c r="E124" s="2">
        <f>MCWaterSavings!F123/MCWaterBefore!F123</f>
        <v>0.40000000000000008</v>
      </c>
      <c r="F124" s="2">
        <f>MCWaterSavings!G123/MCWaterBefore!G123</f>
        <v>0.18207884514999984</v>
      </c>
    </row>
    <row r="125" spans="1:6" x14ac:dyDescent="0.35">
      <c r="A125" s="2">
        <f>MCWaterSavings!B124/MCWaterBefore!B124</f>
        <v>0.4</v>
      </c>
      <c r="B125" s="2">
        <f>MCWaterSavings!C124/MCWaterBefore!C124</f>
        <v>0.38461538461538464</v>
      </c>
      <c r="C125" s="2">
        <f>MCWaterSavings!D124/MCWaterBefore!D124</f>
        <v>0.40000000000000008</v>
      </c>
      <c r="D125" s="2">
        <f>MCWaterSavings!E124/MCWaterBefore!E124</f>
        <v>0.40000000000000013</v>
      </c>
      <c r="E125" s="2">
        <f>MCWaterSavings!F124/MCWaterBefore!F124</f>
        <v>-1.2743375392642965E-16</v>
      </c>
      <c r="F125" s="2">
        <f>MCWaterSavings!G124/MCWaterBefore!G124</f>
        <v>0</v>
      </c>
    </row>
    <row r="126" spans="1:6" x14ac:dyDescent="0.35">
      <c r="A126" s="2">
        <f>MCWaterSavings!B125/MCWaterBefore!B125</f>
        <v>0.33333333333333348</v>
      </c>
      <c r="B126" s="2">
        <f>MCWaterSavings!C125/MCWaterBefore!C125</f>
        <v>0.38461538461538469</v>
      </c>
      <c r="C126" s="2">
        <f>MCWaterSavings!D125/MCWaterBefore!D125</f>
        <v>1.5512445877075355E-16</v>
      </c>
      <c r="D126" s="2">
        <f>MCWaterSavings!E125/MCWaterBefore!E125</f>
        <v>0</v>
      </c>
      <c r="E126" s="2">
        <f>MCWaterSavings!F125/MCWaterBefore!F125</f>
        <v>0.40000000000000008</v>
      </c>
      <c r="F126" s="2">
        <f>MCWaterSavings!G125/MCWaterBefore!G125</f>
        <v>0</v>
      </c>
    </row>
    <row r="127" spans="1:6" x14ac:dyDescent="0.35">
      <c r="A127" s="2">
        <f>MCWaterSavings!B126/MCWaterBefore!B126</f>
        <v>0</v>
      </c>
      <c r="B127" s="2">
        <f>MCWaterSavings!C126/MCWaterBefore!C126</f>
        <v>0.38461538461538464</v>
      </c>
      <c r="C127" s="2">
        <f>MCWaterSavings!D126/MCWaterBefore!D126</f>
        <v>0.59090909090909105</v>
      </c>
      <c r="D127" s="2">
        <f>MCWaterSavings!E126/MCWaterBefore!E126</f>
        <v>0.4</v>
      </c>
      <c r="E127" s="2">
        <f>MCWaterSavings!F126/MCWaterBefore!F126</f>
        <v>0</v>
      </c>
      <c r="F127" s="2">
        <f>MCWaterSavings!G126/MCWaterBefore!G126</f>
        <v>0.48038840009999995</v>
      </c>
    </row>
    <row r="128" spans="1:6" x14ac:dyDescent="0.35">
      <c r="A128" s="2">
        <f>MCWaterSavings!B127/MCWaterBefore!B127</f>
        <v>0</v>
      </c>
      <c r="B128" s="2">
        <f>MCWaterSavings!C127/MCWaterBefore!C127</f>
        <v>0.38461538461538453</v>
      </c>
      <c r="C128" s="2">
        <f>MCWaterSavings!D127/MCWaterBefore!D127</f>
        <v>0.59090909090909094</v>
      </c>
      <c r="D128" s="2">
        <f>MCWaterSavings!E127/MCWaterBefore!E127</f>
        <v>0.4</v>
      </c>
      <c r="E128" s="2">
        <f>MCWaterSavings!F127/MCWaterBefore!F127</f>
        <v>0</v>
      </c>
      <c r="F128" s="2">
        <f>MCWaterSavings!G127/MCWaterBefore!G127</f>
        <v>0</v>
      </c>
    </row>
    <row r="129" spans="1:6" x14ac:dyDescent="0.35">
      <c r="A129" s="2">
        <f>MCWaterSavings!B128/MCWaterBefore!B128</f>
        <v>0</v>
      </c>
      <c r="B129" s="2">
        <f>MCWaterSavings!C128/MCWaterBefore!C128</f>
        <v>0.3846153846153848</v>
      </c>
      <c r="C129" s="2">
        <f>MCWaterSavings!D128/MCWaterBefore!D128</f>
        <v>0.59090909090909105</v>
      </c>
      <c r="D129" s="2">
        <f>MCWaterSavings!E128/MCWaterBefore!E128</f>
        <v>0</v>
      </c>
      <c r="E129" s="2">
        <f>MCWaterSavings!F128/MCWaterBefore!F128</f>
        <v>0</v>
      </c>
      <c r="F129" s="2">
        <f>MCWaterSavings!G128/MCWaterBefore!G128</f>
        <v>0.42313239580000001</v>
      </c>
    </row>
    <row r="130" spans="1:6" x14ac:dyDescent="0.35">
      <c r="A130" s="2">
        <f>MCWaterSavings!B129/MCWaterBefore!B129</f>
        <v>0.4</v>
      </c>
      <c r="B130" s="2">
        <f>MCWaterSavings!C129/MCWaterBefore!C129</f>
        <v>1.3624368238677674E-16</v>
      </c>
      <c r="C130" s="2">
        <f>MCWaterSavings!D129/MCWaterBefore!D129</f>
        <v>0.59090909090909105</v>
      </c>
      <c r="D130" s="2">
        <f>MCWaterSavings!E129/MCWaterBefore!E129</f>
        <v>0.4</v>
      </c>
      <c r="E130" s="2">
        <f>MCWaterSavings!F129/MCWaterBefore!F129</f>
        <v>0.4</v>
      </c>
      <c r="F130" s="2">
        <f>MCWaterSavings!G129/MCWaterBefore!G129</f>
        <v>0.3729861391999999</v>
      </c>
    </row>
    <row r="131" spans="1:6" x14ac:dyDescent="0.35">
      <c r="A131" s="2">
        <f>MCWaterSavings!B130/MCWaterBefore!B130</f>
        <v>0.36190476190476178</v>
      </c>
      <c r="B131" s="2">
        <f>MCWaterSavings!C130/MCWaterBefore!C130</f>
        <v>0.38461538461538464</v>
      </c>
      <c r="C131" s="2">
        <f>MCWaterSavings!D130/MCWaterBefore!D130</f>
        <v>0</v>
      </c>
      <c r="D131" s="2">
        <f>MCWaterSavings!E130/MCWaterBefore!E130</f>
        <v>0</v>
      </c>
      <c r="E131" s="2">
        <f>MCWaterSavings!F130/MCWaterBefore!F130</f>
        <v>0</v>
      </c>
      <c r="F131" s="2">
        <f>MCWaterSavings!G130/MCWaterBefore!G130</f>
        <v>0.45955634709999987</v>
      </c>
    </row>
    <row r="132" spans="1:6" x14ac:dyDescent="0.35">
      <c r="A132" s="2">
        <f>MCWaterSavings!B131/MCWaterBefore!B131</f>
        <v>0.4</v>
      </c>
      <c r="B132" s="2">
        <f>MCWaterSavings!C131/MCWaterBefore!C131</f>
        <v>1.1450266923995066E-16</v>
      </c>
      <c r="C132" s="2">
        <f>MCWaterSavings!D131/MCWaterBefore!D131</f>
        <v>1.4133561799113101E-16</v>
      </c>
      <c r="D132" s="2">
        <f>MCWaterSavings!E131/MCWaterBefore!E131</f>
        <v>0.4</v>
      </c>
      <c r="E132" s="2">
        <f>MCWaterSavings!F131/MCWaterBefore!F131</f>
        <v>0.40000000000000008</v>
      </c>
      <c r="F132" s="2">
        <f>MCWaterSavings!G131/MCWaterBefore!G131</f>
        <v>0.21127640584999988</v>
      </c>
    </row>
    <row r="133" spans="1:6" x14ac:dyDescent="0.35">
      <c r="A133" s="2">
        <f>MCWaterSavings!B132/MCWaterBefore!B132</f>
        <v>0.57142857142857151</v>
      </c>
      <c r="B133" s="2">
        <f>MCWaterSavings!C132/MCWaterBefore!C132</f>
        <v>0</v>
      </c>
      <c r="C133" s="2">
        <f>MCWaterSavings!D132/MCWaterBefore!D132</f>
        <v>0.31818181818181829</v>
      </c>
      <c r="D133" s="2">
        <f>MCWaterSavings!E132/MCWaterBefore!E132</f>
        <v>0.4</v>
      </c>
      <c r="E133" s="2">
        <f>MCWaterSavings!F132/MCWaterBefore!F132</f>
        <v>0.40000000000000008</v>
      </c>
      <c r="F133" s="2">
        <f>MCWaterSavings!G132/MCWaterBefore!G132</f>
        <v>0</v>
      </c>
    </row>
    <row r="134" spans="1:6" x14ac:dyDescent="0.35">
      <c r="A134" s="2">
        <f>MCWaterSavings!B133/MCWaterBefore!B133</f>
        <v>0.72326530612244899</v>
      </c>
      <c r="B134" s="2">
        <f>MCWaterSavings!C133/MCWaterBefore!C133</f>
        <v>0.38461538461538464</v>
      </c>
      <c r="C134" s="2">
        <f>MCWaterSavings!D133/MCWaterBefore!D133</f>
        <v>0.39999999999999997</v>
      </c>
      <c r="D134" s="2">
        <f>MCWaterSavings!E133/MCWaterBefore!E133</f>
        <v>0</v>
      </c>
      <c r="E134" s="2">
        <f>MCWaterSavings!F133/MCWaterBefore!F133</f>
        <v>0</v>
      </c>
      <c r="F134" s="2">
        <f>MCWaterSavings!G133/MCWaterBefore!G133</f>
        <v>0</v>
      </c>
    </row>
    <row r="135" spans="1:6" x14ac:dyDescent="0.35">
      <c r="A135" s="2">
        <f>MCWaterSavings!B134/MCWaterBefore!B134</f>
        <v>0.74285714285714277</v>
      </c>
      <c r="B135" s="2">
        <f>MCWaterSavings!C134/MCWaterBefore!C134</f>
        <v>0.38461538461538464</v>
      </c>
      <c r="C135" s="2">
        <f>MCWaterSavings!D134/MCWaterBefore!D134</f>
        <v>0.40000000000000013</v>
      </c>
      <c r="D135" s="2">
        <f>MCWaterSavings!E134/MCWaterBefore!E134</f>
        <v>0</v>
      </c>
      <c r="E135" s="2">
        <f>MCWaterSavings!F134/MCWaterBefore!F134</f>
        <v>0.4</v>
      </c>
      <c r="F135" s="2">
        <f>MCWaterSavings!G134/MCWaterBefore!G134</f>
        <v>0.61071839824999985</v>
      </c>
    </row>
    <row r="136" spans="1:6" x14ac:dyDescent="0.35">
      <c r="A136" s="2">
        <f>MCWaterSavings!B135/MCWaterBefore!B135</f>
        <v>0.5714285714285714</v>
      </c>
      <c r="B136" s="2">
        <f>MCWaterSavings!C135/MCWaterBefore!C135</f>
        <v>0.38461538461538464</v>
      </c>
      <c r="C136" s="2">
        <f>MCWaterSavings!D135/MCWaterBefore!D135</f>
        <v>0.3181818181818184</v>
      </c>
      <c r="D136" s="2">
        <f>MCWaterSavings!E135/MCWaterBefore!E135</f>
        <v>0</v>
      </c>
      <c r="E136" s="2">
        <f>MCWaterSavings!F135/MCWaterBefore!F135</f>
        <v>0</v>
      </c>
      <c r="F136" s="2">
        <f>MCWaterSavings!G135/MCWaterBefore!G135</f>
        <v>0</v>
      </c>
    </row>
    <row r="137" spans="1:6" x14ac:dyDescent="0.35">
      <c r="A137" s="2">
        <f>MCWaterSavings!B136/MCWaterBefore!B136</f>
        <v>0</v>
      </c>
      <c r="B137" s="2">
        <f>MCWaterSavings!C136/MCWaterBefore!C136</f>
        <v>1.1699185770168872E-16</v>
      </c>
      <c r="C137" s="2">
        <f>MCWaterSavings!D136/MCWaterBefore!D136</f>
        <v>0.31818181818181829</v>
      </c>
      <c r="D137" s="2">
        <f>MCWaterSavings!E136/MCWaterBefore!E136</f>
        <v>0.40000000000000008</v>
      </c>
      <c r="E137" s="2">
        <f>MCWaterSavings!F136/MCWaterBefore!F136</f>
        <v>0.4</v>
      </c>
      <c r="F137" s="2">
        <f>MCWaterSavings!G136/MCWaterBefore!G136</f>
        <v>0.22842820424999991</v>
      </c>
    </row>
    <row r="138" spans="1:6" x14ac:dyDescent="0.35">
      <c r="A138" s="2">
        <f>MCWaterSavings!B137/MCWaterBefore!B137</f>
        <v>0.5714285714285714</v>
      </c>
      <c r="B138" s="2">
        <f>MCWaterSavings!C137/MCWaterBefore!C137</f>
        <v>0</v>
      </c>
      <c r="C138" s="2">
        <f>MCWaterSavings!D137/MCWaterBefore!D137</f>
        <v>0.59090909090909105</v>
      </c>
      <c r="D138" s="2">
        <f>MCWaterSavings!E137/MCWaterBefore!E137</f>
        <v>0</v>
      </c>
      <c r="E138" s="2">
        <f>MCWaterSavings!F137/MCWaterBefore!F137</f>
        <v>0.4</v>
      </c>
      <c r="F138" s="2">
        <f>MCWaterSavings!G137/MCWaterBefore!G137</f>
        <v>0.36641638315000008</v>
      </c>
    </row>
    <row r="139" spans="1:6" x14ac:dyDescent="0.35">
      <c r="A139" s="2">
        <f>MCWaterSavings!B138/MCWaterBefore!B138</f>
        <v>0.28571428571428564</v>
      </c>
      <c r="B139" s="2">
        <f>MCWaterSavings!C138/MCWaterBefore!C138</f>
        <v>1.6064553594858749E-16</v>
      </c>
      <c r="C139" s="2">
        <f>MCWaterSavings!D138/MCWaterBefore!D138</f>
        <v>0.31818181818181845</v>
      </c>
      <c r="D139" s="2">
        <f>MCWaterSavings!E138/MCWaterBefore!E138</f>
        <v>0</v>
      </c>
      <c r="E139" s="2">
        <f>MCWaterSavings!F138/MCWaterBefore!F138</f>
        <v>-1.6384339790540954E-16</v>
      </c>
      <c r="F139" s="2">
        <f>MCWaterSavings!G138/MCWaterBefore!G138</f>
        <v>0</v>
      </c>
    </row>
    <row r="140" spans="1:6" x14ac:dyDescent="0.35">
      <c r="A140" s="2">
        <f>MCWaterSavings!B139/MCWaterBefore!B139</f>
        <v>0</v>
      </c>
      <c r="B140" s="2">
        <f>MCWaterSavings!C139/MCWaterBefore!C139</f>
        <v>0.38461538461538464</v>
      </c>
      <c r="C140" s="2">
        <f>MCWaterSavings!D139/MCWaterBefore!D139</f>
        <v>0.31818181818181829</v>
      </c>
      <c r="D140" s="2">
        <f>MCWaterSavings!E139/MCWaterBefore!E139</f>
        <v>0.4</v>
      </c>
      <c r="E140" s="2">
        <f>MCWaterSavings!F139/MCWaterBefore!F139</f>
        <v>0.40000000000000008</v>
      </c>
      <c r="F140" s="2">
        <f>MCWaterSavings!G139/MCWaterBefore!G139</f>
        <v>0.60151155005000001</v>
      </c>
    </row>
    <row r="141" spans="1:6" x14ac:dyDescent="0.35">
      <c r="A141" s="2">
        <f>MCWaterSavings!B140/MCWaterBefore!B140</f>
        <v>0</v>
      </c>
      <c r="B141" s="2">
        <f>MCWaterSavings!C140/MCWaterBefore!C140</f>
        <v>0</v>
      </c>
      <c r="C141" s="2">
        <f>MCWaterSavings!D140/MCWaterBefore!D140</f>
        <v>0.40000000000000008</v>
      </c>
      <c r="D141" s="2">
        <f>MCWaterSavings!E140/MCWaterBefore!E140</f>
        <v>0</v>
      </c>
      <c r="E141" s="2">
        <f>MCWaterSavings!F140/MCWaterBefore!F140</f>
        <v>0</v>
      </c>
      <c r="F141" s="2">
        <f>MCWaterSavings!G140/MCWaterBefore!G140</f>
        <v>0</v>
      </c>
    </row>
    <row r="142" spans="1:6" x14ac:dyDescent="0.35">
      <c r="A142" s="2">
        <f>MCWaterSavings!B141/MCWaterBefore!B141</f>
        <v>0.30000000000000004</v>
      </c>
      <c r="B142" s="2">
        <f>MCWaterSavings!C141/MCWaterBefore!C141</f>
        <v>0.38461538461538464</v>
      </c>
      <c r="C142" s="2">
        <f>MCWaterSavings!D141/MCWaterBefore!D141</f>
        <v>0.4</v>
      </c>
      <c r="D142" s="2">
        <f>MCWaterSavings!E141/MCWaterBefore!E141</f>
        <v>0.4</v>
      </c>
      <c r="E142" s="2">
        <f>MCWaterSavings!F141/MCWaterBefore!F141</f>
        <v>0.4</v>
      </c>
      <c r="F142" s="2">
        <f>MCWaterSavings!G141/MCWaterBefore!G141</f>
        <v>0</v>
      </c>
    </row>
    <row r="143" spans="1:6" x14ac:dyDescent="0.35">
      <c r="A143" s="2">
        <f>MCWaterSavings!B142/MCWaterBefore!B142</f>
        <v>0.16923076923076918</v>
      </c>
      <c r="B143" s="2">
        <f>MCWaterSavings!C142/MCWaterBefore!C142</f>
        <v>0.38461538461538469</v>
      </c>
      <c r="C143" s="2">
        <f>MCWaterSavings!D142/MCWaterBefore!D142</f>
        <v>0.31818181818181829</v>
      </c>
      <c r="D143" s="2">
        <f>MCWaterSavings!E142/MCWaterBefore!E142</f>
        <v>0</v>
      </c>
      <c r="E143" s="2">
        <f>MCWaterSavings!F142/MCWaterBefore!F142</f>
        <v>0</v>
      </c>
      <c r="F143" s="2">
        <f>MCWaterSavings!G142/MCWaterBefore!G142</f>
        <v>0</v>
      </c>
    </row>
    <row r="144" spans="1:6" x14ac:dyDescent="0.35">
      <c r="A144" s="2">
        <f>MCWaterSavings!B143/MCWaterBefore!B143</f>
        <v>0.2857142857142857</v>
      </c>
      <c r="B144" s="2">
        <f>MCWaterSavings!C143/MCWaterBefore!C143</f>
        <v>0.38461538461538453</v>
      </c>
      <c r="C144" s="2">
        <f>MCWaterSavings!D143/MCWaterBefore!D143</f>
        <v>0</v>
      </c>
      <c r="D144" s="2">
        <f>MCWaterSavings!E143/MCWaterBefore!E143</f>
        <v>0.4</v>
      </c>
      <c r="E144" s="2">
        <f>MCWaterSavings!F143/MCWaterBefore!F143</f>
        <v>0.40000000000000008</v>
      </c>
      <c r="F144" s="2">
        <f>MCWaterSavings!G143/MCWaterBefore!G143</f>
        <v>0.24661665309999994</v>
      </c>
    </row>
    <row r="145" spans="1:6" x14ac:dyDescent="0.35">
      <c r="A145" s="2">
        <f>MCWaterSavings!B144/MCWaterBefore!B144</f>
        <v>9.6969696969696914E-2</v>
      </c>
      <c r="B145" s="2">
        <f>MCWaterSavings!C144/MCWaterBefore!C144</f>
        <v>0.38461538461538453</v>
      </c>
      <c r="C145" s="2">
        <f>MCWaterSavings!D144/MCWaterBefore!D144</f>
        <v>0.40000000000000013</v>
      </c>
      <c r="D145" s="2">
        <f>MCWaterSavings!E144/MCWaterBefore!E144</f>
        <v>0</v>
      </c>
      <c r="E145" s="2">
        <f>MCWaterSavings!F144/MCWaterBefore!F144</f>
        <v>0.40000000000000008</v>
      </c>
      <c r="F145" s="2">
        <f>MCWaterSavings!G144/MCWaterBefore!G144</f>
        <v>0.69114398140000011</v>
      </c>
    </row>
    <row r="146" spans="1:6" x14ac:dyDescent="0.35">
      <c r="A146" s="2">
        <f>MCWaterSavings!B145/MCWaterBefore!B145</f>
        <v>0.25641025641025655</v>
      </c>
      <c r="B146" s="2">
        <f>MCWaterSavings!C145/MCWaterBefore!C145</f>
        <v>0</v>
      </c>
      <c r="C146" s="2">
        <f>MCWaterSavings!D145/MCWaterBefore!D145</f>
        <v>0.59090909090909094</v>
      </c>
      <c r="D146" s="2">
        <f>MCWaterSavings!E145/MCWaterBefore!E145</f>
        <v>0</v>
      </c>
      <c r="E146" s="2">
        <f>MCWaterSavings!F145/MCWaterBefore!F145</f>
        <v>0</v>
      </c>
      <c r="F146" s="2">
        <f>MCWaterSavings!G145/MCWaterBefore!G145</f>
        <v>0.53288814244999994</v>
      </c>
    </row>
    <row r="147" spans="1:6" x14ac:dyDescent="0.35">
      <c r="A147" s="2">
        <f>MCWaterSavings!B146/MCWaterBefore!B146</f>
        <v>0</v>
      </c>
      <c r="B147" s="2">
        <f>MCWaterSavings!C146/MCWaterBefore!C146</f>
        <v>1.3125915742140686E-16</v>
      </c>
      <c r="C147" s="2">
        <f>MCWaterSavings!D146/MCWaterBefore!D146</f>
        <v>0.59090909090909105</v>
      </c>
      <c r="D147" s="2">
        <f>MCWaterSavings!E146/MCWaterBefore!E146</f>
        <v>0.4</v>
      </c>
      <c r="E147" s="2">
        <f>MCWaterSavings!F146/MCWaterBefore!F146</f>
        <v>0</v>
      </c>
      <c r="F147" s="2">
        <f>MCWaterSavings!G146/MCWaterBefore!G146</f>
        <v>0.16731070110000004</v>
      </c>
    </row>
    <row r="148" spans="1:6" x14ac:dyDescent="0.35">
      <c r="A148" s="2">
        <f>MCWaterSavings!B147/MCWaterBefore!B147</f>
        <v>0.5714285714285714</v>
      </c>
      <c r="B148" s="2">
        <f>MCWaterSavings!C147/MCWaterBefore!C147</f>
        <v>1.237155276845444E-16</v>
      </c>
      <c r="C148" s="2">
        <f>MCWaterSavings!D147/MCWaterBefore!D147</f>
        <v>0.40000000000000013</v>
      </c>
      <c r="D148" s="2">
        <f>MCWaterSavings!E147/MCWaterBefore!E147</f>
        <v>0</v>
      </c>
      <c r="E148" s="2">
        <f>MCWaterSavings!F147/MCWaterBefore!F147</f>
        <v>0.40000000000000008</v>
      </c>
      <c r="F148" s="2">
        <f>MCWaterSavings!G147/MCWaterBefore!G147</f>
        <v>0</v>
      </c>
    </row>
    <row r="149" spans="1:6" x14ac:dyDescent="0.35">
      <c r="A149" s="2">
        <f>MCWaterSavings!B148/MCWaterBefore!B148</f>
        <v>0.44363636363636361</v>
      </c>
      <c r="B149" s="2">
        <f>MCWaterSavings!C148/MCWaterBefore!C148</f>
        <v>0.38461538461538464</v>
      </c>
      <c r="C149" s="2">
        <f>MCWaterSavings!D148/MCWaterBefore!D148</f>
        <v>0.59090909090909094</v>
      </c>
      <c r="D149" s="2">
        <f>MCWaterSavings!E148/MCWaterBefore!E148</f>
        <v>0.40000000000000008</v>
      </c>
      <c r="E149" s="2">
        <f>MCWaterSavings!F148/MCWaterBefore!F148</f>
        <v>-1.2743375392642965E-16</v>
      </c>
      <c r="F149" s="2">
        <f>MCWaterSavings!G148/MCWaterBefore!G148</f>
        <v>0</v>
      </c>
    </row>
    <row r="150" spans="1:6" x14ac:dyDescent="0.35">
      <c r="A150" s="2">
        <f>MCWaterSavings!B149/MCWaterBefore!B149</f>
        <v>0.67969924812030069</v>
      </c>
      <c r="B150" s="2">
        <f>MCWaterSavings!C149/MCWaterBefore!C149</f>
        <v>0.38461538461538464</v>
      </c>
      <c r="C150" s="2">
        <f>MCWaterSavings!D149/MCWaterBefore!D149</f>
        <v>0.59090909090909094</v>
      </c>
      <c r="D150" s="2">
        <f>MCWaterSavings!E149/MCWaterBefore!E149</f>
        <v>0.4</v>
      </c>
      <c r="E150" s="2">
        <f>MCWaterSavings!F149/MCWaterBefore!F149</f>
        <v>0</v>
      </c>
      <c r="F150" s="2">
        <f>MCWaterSavings!G149/MCWaterBefore!G149</f>
        <v>0.34408075444999997</v>
      </c>
    </row>
    <row r="151" spans="1:6" x14ac:dyDescent="0.35">
      <c r="A151" s="2">
        <f>MCWaterSavings!B150/MCWaterBefore!B150</f>
        <v>1.1198260248997175E-16</v>
      </c>
      <c r="B151" s="2">
        <f>MCWaterSavings!C150/MCWaterBefore!C150</f>
        <v>1.4544933660209948E-16</v>
      </c>
      <c r="C151" s="2">
        <f>MCWaterSavings!D150/MCWaterBefore!D150</f>
        <v>0.40000000000000008</v>
      </c>
      <c r="D151" s="2">
        <f>MCWaterSavings!E150/MCWaterBefore!E150</f>
        <v>0</v>
      </c>
      <c r="E151" s="2">
        <f>MCWaterSavings!F150/MCWaterBefore!F150</f>
        <v>0.40000000000000008</v>
      </c>
      <c r="F151" s="2">
        <f>MCWaterSavings!G150/MCWaterBefore!G150</f>
        <v>0</v>
      </c>
    </row>
    <row r="152" spans="1:6" x14ac:dyDescent="0.35">
      <c r="A152" s="2">
        <f>MCWaterSavings!B151/MCWaterBefore!B151</f>
        <v>0.67192118226600994</v>
      </c>
      <c r="B152" s="2">
        <f>MCWaterSavings!C151/MCWaterBefore!C151</f>
        <v>1.7360082110573164E-16</v>
      </c>
      <c r="C152" s="2">
        <f>MCWaterSavings!D151/MCWaterBefore!D151</f>
        <v>0</v>
      </c>
      <c r="D152" s="2">
        <f>MCWaterSavings!E151/MCWaterBefore!E151</f>
        <v>0</v>
      </c>
      <c r="E152" s="2">
        <f>MCWaterSavings!F151/MCWaterBefore!F151</f>
        <v>0.40000000000000008</v>
      </c>
      <c r="F152" s="2">
        <f>MCWaterSavings!G151/MCWaterBefore!G151</f>
        <v>0.32203902044999999</v>
      </c>
    </row>
    <row r="153" spans="1:6" x14ac:dyDescent="0.35">
      <c r="A153" s="2">
        <f>MCWaterSavings!B152/MCWaterBefore!B152</f>
        <v>0.72087912087912087</v>
      </c>
      <c r="B153" s="2">
        <f>MCWaterSavings!C152/MCWaterBefore!C152</f>
        <v>0.38461538461538469</v>
      </c>
      <c r="C153" s="2">
        <f>MCWaterSavings!D152/MCWaterBefore!D152</f>
        <v>0.31818181818181829</v>
      </c>
      <c r="D153" s="2">
        <f>MCWaterSavings!E152/MCWaterBefore!E152</f>
        <v>0.4</v>
      </c>
      <c r="E153" s="2">
        <f>MCWaterSavings!F152/MCWaterBefore!F152</f>
        <v>0.40000000000000008</v>
      </c>
      <c r="F153" s="2">
        <f>MCWaterSavings!G152/MCWaterBefore!G152</f>
        <v>0</v>
      </c>
    </row>
    <row r="154" spans="1:6" x14ac:dyDescent="0.35">
      <c r="A154" s="2">
        <f>MCWaterSavings!B153/MCWaterBefore!B153</f>
        <v>0.64</v>
      </c>
      <c r="B154" s="2">
        <f>MCWaterSavings!C153/MCWaterBefore!C153</f>
        <v>0</v>
      </c>
      <c r="C154" s="2">
        <f>MCWaterSavings!D153/MCWaterBefore!D153</f>
        <v>0.59090909090909105</v>
      </c>
      <c r="D154" s="2">
        <f>MCWaterSavings!E153/MCWaterBefore!E153</f>
        <v>0.4</v>
      </c>
      <c r="E154" s="2">
        <f>MCWaterSavings!F153/MCWaterBefore!F153</f>
        <v>0.40000000000000008</v>
      </c>
      <c r="F154" s="2">
        <f>MCWaterSavings!G153/MCWaterBefore!G153</f>
        <v>0</v>
      </c>
    </row>
    <row r="155" spans="1:6" x14ac:dyDescent="0.35">
      <c r="A155" s="2">
        <f>MCWaterSavings!B154/MCWaterBefore!B154</f>
        <v>0.28571428571428586</v>
      </c>
      <c r="B155" s="2">
        <f>MCWaterSavings!C154/MCWaterBefore!C154</f>
        <v>0</v>
      </c>
      <c r="C155" s="2">
        <f>MCWaterSavings!D154/MCWaterBefore!D154</f>
        <v>0.59090909090909094</v>
      </c>
      <c r="D155" s="2">
        <f>MCWaterSavings!E154/MCWaterBefore!E154</f>
        <v>0.40000000000000008</v>
      </c>
      <c r="E155" s="2">
        <f>MCWaterSavings!F154/MCWaterBefore!F154</f>
        <v>0.40000000000000008</v>
      </c>
      <c r="F155" s="2">
        <f>MCWaterSavings!G154/MCWaterBefore!G154</f>
        <v>0</v>
      </c>
    </row>
    <row r="156" spans="1:6" x14ac:dyDescent="0.35">
      <c r="A156" s="2">
        <f>MCWaterSavings!B155/MCWaterBefore!B155</f>
        <v>0.4</v>
      </c>
      <c r="B156" s="2">
        <f>MCWaterSavings!C155/MCWaterBefore!C155</f>
        <v>-1.5159508321908964E-16</v>
      </c>
      <c r="C156" s="2">
        <f>MCWaterSavings!D155/MCWaterBefore!D155</f>
        <v>0.31818181818181829</v>
      </c>
      <c r="D156" s="2">
        <f>MCWaterSavings!E155/MCWaterBefore!E155</f>
        <v>0.40000000000000008</v>
      </c>
      <c r="E156" s="2">
        <f>MCWaterSavings!F155/MCWaterBefore!F155</f>
        <v>0.40000000000000008</v>
      </c>
      <c r="F156" s="2">
        <f>MCWaterSavings!G155/MCWaterBefore!G155</f>
        <v>0</v>
      </c>
    </row>
    <row r="157" spans="1:6" x14ac:dyDescent="0.35">
      <c r="A157" s="2">
        <f>MCWaterSavings!B156/MCWaterBefore!B156</f>
        <v>0.74285714285714277</v>
      </c>
      <c r="B157" s="2">
        <f>MCWaterSavings!C156/MCWaterBefore!C156</f>
        <v>0.38461538461538464</v>
      </c>
      <c r="C157" s="2">
        <f>MCWaterSavings!D156/MCWaterBefore!D156</f>
        <v>0.40000000000000008</v>
      </c>
      <c r="D157" s="2">
        <f>MCWaterSavings!E156/MCWaterBefore!E156</f>
        <v>0</v>
      </c>
      <c r="E157" s="2">
        <f>MCWaterSavings!F156/MCWaterBefore!F156</f>
        <v>0.40000000000000008</v>
      </c>
      <c r="F157" s="2">
        <f>MCWaterSavings!G156/MCWaterBefore!G156</f>
        <v>0</v>
      </c>
    </row>
    <row r="158" spans="1:6" x14ac:dyDescent="0.35">
      <c r="A158" s="2">
        <f>MCWaterSavings!B157/MCWaterBefore!B157</f>
        <v>0.2857142857142857</v>
      </c>
      <c r="B158" s="2">
        <f>MCWaterSavings!C157/MCWaterBefore!C157</f>
        <v>1.3978247933188781E-16</v>
      </c>
      <c r="C158" s="2">
        <f>MCWaterSavings!D157/MCWaterBefore!D157</f>
        <v>0.4</v>
      </c>
      <c r="D158" s="2">
        <f>MCWaterSavings!E157/MCWaterBefore!E157</f>
        <v>0.40000000000000013</v>
      </c>
      <c r="E158" s="2">
        <f>MCWaterSavings!F157/MCWaterBefore!F157</f>
        <v>0</v>
      </c>
      <c r="F158" s="2">
        <f>MCWaterSavings!G157/MCWaterBefore!G157</f>
        <v>0.61367827109999995</v>
      </c>
    </row>
    <row r="159" spans="1:6" x14ac:dyDescent="0.35">
      <c r="A159" s="2">
        <f>MCWaterSavings!B158/MCWaterBefore!B158</f>
        <v>0.4</v>
      </c>
      <c r="B159" s="2">
        <f>MCWaterSavings!C158/MCWaterBefore!C158</f>
        <v>0.38461538461538464</v>
      </c>
      <c r="C159" s="2">
        <f>MCWaterSavings!D158/MCWaterBefore!D158</f>
        <v>0</v>
      </c>
      <c r="D159" s="2">
        <f>MCWaterSavings!E158/MCWaterBefore!E158</f>
        <v>0.4</v>
      </c>
      <c r="E159" s="2">
        <f>MCWaterSavings!F158/MCWaterBefore!F158</f>
        <v>0.4</v>
      </c>
      <c r="F159" s="2">
        <f>MCWaterSavings!G158/MCWaterBefore!G158</f>
        <v>0.42791482949999998</v>
      </c>
    </row>
    <row r="160" spans="1:6" x14ac:dyDescent="0.35">
      <c r="A160" s="2">
        <f>MCWaterSavings!B159/MCWaterBefore!B159</f>
        <v>0.28571428571428581</v>
      </c>
      <c r="B160" s="2">
        <f>MCWaterSavings!C159/MCWaterBefore!C159</f>
        <v>0.38461538461538469</v>
      </c>
      <c r="C160" s="2">
        <f>MCWaterSavings!D159/MCWaterBefore!D159</f>
        <v>0.3181818181818184</v>
      </c>
      <c r="D160" s="2">
        <f>MCWaterSavings!E159/MCWaterBefore!E159</f>
        <v>0</v>
      </c>
      <c r="E160" s="2">
        <f>MCWaterSavings!F159/MCWaterBefore!F159</f>
        <v>0.40000000000000008</v>
      </c>
      <c r="F160" s="2">
        <f>MCWaterSavings!G159/MCWaterBefore!G159</f>
        <v>0.50368225474999995</v>
      </c>
    </row>
    <row r="161" spans="1:6" x14ac:dyDescent="0.35">
      <c r="A161" s="2">
        <f>MCWaterSavings!B160/MCWaterBefore!B160</f>
        <v>0.74285714285714288</v>
      </c>
      <c r="B161" s="2">
        <f>MCWaterSavings!C160/MCWaterBefore!C160</f>
        <v>0</v>
      </c>
      <c r="C161" s="2">
        <f>MCWaterSavings!D160/MCWaterBefore!D160</f>
        <v>0</v>
      </c>
      <c r="D161" s="2">
        <f>MCWaterSavings!E160/MCWaterBefore!E160</f>
        <v>0</v>
      </c>
      <c r="E161" s="2">
        <f>MCWaterSavings!F160/MCWaterBefore!F160</f>
        <v>0</v>
      </c>
      <c r="F161" s="2">
        <f>MCWaterSavings!G160/MCWaterBefore!G160</f>
        <v>0.66817874680000011</v>
      </c>
    </row>
    <row r="162" spans="1:6" x14ac:dyDescent="0.35">
      <c r="A162" s="2">
        <f>MCWaterSavings!B161/MCWaterBefore!B161</f>
        <v>0.40000000000000008</v>
      </c>
      <c r="B162" s="2">
        <f>MCWaterSavings!C161/MCWaterBefore!C161</f>
        <v>0.38461538461538453</v>
      </c>
      <c r="C162" s="2">
        <f>MCWaterSavings!D161/MCWaterBefore!D161</f>
        <v>0.59090909090909094</v>
      </c>
      <c r="D162" s="2">
        <f>MCWaterSavings!E161/MCWaterBefore!E161</f>
        <v>0</v>
      </c>
      <c r="E162" s="2">
        <f>MCWaterSavings!F161/MCWaterBefore!F161</f>
        <v>-1.2743375392642965E-16</v>
      </c>
      <c r="F162" s="2">
        <f>MCWaterSavings!G161/MCWaterBefore!G161</f>
        <v>0.62559707855000013</v>
      </c>
    </row>
    <row r="163" spans="1:6" x14ac:dyDescent="0.35">
      <c r="A163" s="2">
        <f>MCWaterSavings!B162/MCWaterBefore!B162</f>
        <v>0.2857142857142857</v>
      </c>
      <c r="B163" s="2">
        <f>MCWaterSavings!C162/MCWaterBefore!C162</f>
        <v>0</v>
      </c>
      <c r="C163" s="2">
        <f>MCWaterSavings!D162/MCWaterBefore!D162</f>
        <v>0.31818181818181845</v>
      </c>
      <c r="D163" s="2">
        <f>MCWaterSavings!E162/MCWaterBefore!E162</f>
        <v>0</v>
      </c>
      <c r="E163" s="2">
        <f>MCWaterSavings!F162/MCWaterBefore!F162</f>
        <v>0</v>
      </c>
      <c r="F163" s="2">
        <f>MCWaterSavings!G162/MCWaterBefore!G162</f>
        <v>0.28199424590000011</v>
      </c>
    </row>
    <row r="164" spans="1:6" x14ac:dyDescent="0.35">
      <c r="A164" s="2">
        <f>MCWaterSavings!B163/MCWaterBefore!B163</f>
        <v>7.4999999999999942E-2</v>
      </c>
      <c r="B164" s="2">
        <f>MCWaterSavings!C163/MCWaterBefore!C163</f>
        <v>0</v>
      </c>
      <c r="C164" s="2">
        <f>MCWaterSavings!D163/MCWaterBefore!D163</f>
        <v>0.59090909090909105</v>
      </c>
      <c r="D164" s="2">
        <f>MCWaterSavings!E163/MCWaterBefore!E163</f>
        <v>0</v>
      </c>
      <c r="E164" s="2">
        <f>MCWaterSavings!F163/MCWaterBefore!F163</f>
        <v>0</v>
      </c>
      <c r="F164" s="2">
        <f>MCWaterSavings!G163/MCWaterBefore!G163</f>
        <v>0</v>
      </c>
    </row>
    <row r="165" spans="1:6" x14ac:dyDescent="0.35">
      <c r="A165" s="2">
        <f>MCWaterSavings!B164/MCWaterBefore!B164</f>
        <v>0.39999999999999997</v>
      </c>
      <c r="B165" s="2">
        <f>MCWaterSavings!C164/MCWaterBefore!C164</f>
        <v>0</v>
      </c>
      <c r="C165" s="2">
        <f>MCWaterSavings!D164/MCWaterBefore!D164</f>
        <v>0.40000000000000008</v>
      </c>
      <c r="D165" s="2">
        <f>MCWaterSavings!E164/MCWaterBefore!E164</f>
        <v>0.4</v>
      </c>
      <c r="E165" s="2">
        <f>MCWaterSavings!F164/MCWaterBefore!F164</f>
        <v>0</v>
      </c>
      <c r="F165" s="2">
        <f>MCWaterSavings!G164/MCWaterBefore!G164</f>
        <v>0</v>
      </c>
    </row>
    <row r="166" spans="1:6" x14ac:dyDescent="0.35">
      <c r="A166" s="2">
        <f>MCWaterSavings!B165/MCWaterBefore!B165</f>
        <v>0</v>
      </c>
      <c r="B166" s="2">
        <f>MCWaterSavings!C165/MCWaterBefore!C165</f>
        <v>0.38461538461538464</v>
      </c>
      <c r="C166" s="2">
        <f>MCWaterSavings!D165/MCWaterBefore!D165</f>
        <v>0</v>
      </c>
      <c r="D166" s="2">
        <f>MCWaterSavings!E165/MCWaterBefore!E165</f>
        <v>0.40000000000000008</v>
      </c>
      <c r="E166" s="2">
        <f>MCWaterSavings!F165/MCWaterBefore!F165</f>
        <v>-1.2743375392642965E-16</v>
      </c>
      <c r="F166" s="2">
        <f>MCWaterSavings!G165/MCWaterBefore!G165</f>
        <v>0</v>
      </c>
    </row>
    <row r="167" spans="1:6" x14ac:dyDescent="0.35">
      <c r="A167" s="2">
        <f>MCWaterSavings!B166/MCWaterBefore!B166</f>
        <v>0.2857142857142857</v>
      </c>
      <c r="B167" s="2">
        <f>MCWaterSavings!C166/MCWaterBefore!C166</f>
        <v>0</v>
      </c>
      <c r="C167" s="2">
        <f>MCWaterSavings!D166/MCWaterBefore!D166</f>
        <v>0.40000000000000008</v>
      </c>
      <c r="D167" s="2">
        <f>MCWaterSavings!E166/MCWaterBefore!E166</f>
        <v>0.40000000000000008</v>
      </c>
      <c r="E167" s="2">
        <f>MCWaterSavings!F166/MCWaterBefore!F166</f>
        <v>0</v>
      </c>
      <c r="F167" s="2">
        <f>MCWaterSavings!G166/MCWaterBefore!G166</f>
        <v>0.24729978939999991</v>
      </c>
    </row>
    <row r="168" spans="1:6" x14ac:dyDescent="0.35">
      <c r="A168" s="2">
        <f>MCWaterSavings!B167/MCWaterBefore!B167</f>
        <v>0.62736842105263146</v>
      </c>
      <c r="B168" s="2">
        <f>MCWaterSavings!C167/MCWaterBefore!C167</f>
        <v>0</v>
      </c>
      <c r="C168" s="2">
        <f>MCWaterSavings!D167/MCWaterBefore!D167</f>
        <v>0</v>
      </c>
      <c r="D168" s="2">
        <f>MCWaterSavings!E167/MCWaterBefore!E167</f>
        <v>0.4</v>
      </c>
      <c r="E168" s="2">
        <f>MCWaterSavings!F167/MCWaterBefore!F167</f>
        <v>0</v>
      </c>
      <c r="F168" s="2">
        <f>MCWaterSavings!G167/MCWaterBefore!G167</f>
        <v>0</v>
      </c>
    </row>
    <row r="169" spans="1:6" x14ac:dyDescent="0.35">
      <c r="A169" s="2">
        <f>MCWaterSavings!B168/MCWaterBefore!B168</f>
        <v>0.40000000000000019</v>
      </c>
      <c r="B169" s="2">
        <f>MCWaterSavings!C168/MCWaterBefore!C168</f>
        <v>0.38461538461538464</v>
      </c>
      <c r="C169" s="2">
        <f>MCWaterSavings!D168/MCWaterBefore!D168</f>
        <v>0.59090909090909094</v>
      </c>
      <c r="D169" s="2">
        <f>MCWaterSavings!E168/MCWaterBefore!E168</f>
        <v>0.4</v>
      </c>
      <c r="E169" s="2">
        <f>MCWaterSavings!F168/MCWaterBefore!F168</f>
        <v>0.40000000000000008</v>
      </c>
      <c r="F169" s="2">
        <f>MCWaterSavings!G168/MCWaterBefore!G168</f>
        <v>0</v>
      </c>
    </row>
    <row r="170" spans="1:6" x14ac:dyDescent="0.35">
      <c r="A170" s="2">
        <f>MCWaterSavings!B169/MCWaterBefore!B169</f>
        <v>0.73766233766233769</v>
      </c>
      <c r="B170" s="2">
        <f>MCWaterSavings!C169/MCWaterBefore!C169</f>
        <v>0.38461538461538469</v>
      </c>
      <c r="C170" s="2">
        <f>MCWaterSavings!D169/MCWaterBefore!D169</f>
        <v>0.59090909090909094</v>
      </c>
      <c r="D170" s="2">
        <f>MCWaterSavings!E169/MCWaterBefore!E169</f>
        <v>0.4</v>
      </c>
      <c r="E170" s="2">
        <f>MCWaterSavings!F169/MCWaterBefore!F169</f>
        <v>0.40000000000000008</v>
      </c>
      <c r="F170" s="2">
        <f>MCWaterSavings!G169/MCWaterBefore!G169</f>
        <v>0</v>
      </c>
    </row>
    <row r="171" spans="1:6" x14ac:dyDescent="0.35">
      <c r="A171" s="2">
        <f>MCWaterSavings!B170/MCWaterBefore!B170</f>
        <v>1.6375950471651784E-16</v>
      </c>
      <c r="B171" s="2">
        <f>MCWaterSavings!C170/MCWaterBefore!C170</f>
        <v>0.38461538461538469</v>
      </c>
      <c r="C171" s="2">
        <f>MCWaterSavings!D170/MCWaterBefore!D170</f>
        <v>0</v>
      </c>
      <c r="D171" s="2">
        <f>MCWaterSavings!E170/MCWaterBefore!E170</f>
        <v>0.58064516129032262</v>
      </c>
      <c r="E171" s="2">
        <f>MCWaterSavings!F170/MCWaterBefore!F170</f>
        <v>0.40000000000000008</v>
      </c>
      <c r="F171" s="2">
        <f>MCWaterSavings!G170/MCWaterBefore!G170</f>
        <v>0.30576629199999994</v>
      </c>
    </row>
    <row r="172" spans="1:6" x14ac:dyDescent="0.35">
      <c r="A172" s="2">
        <f>MCWaterSavings!B171/MCWaterBefore!B171</f>
        <v>0.48739495798319332</v>
      </c>
      <c r="B172" s="2">
        <f>MCWaterSavings!C171/MCWaterBefore!C171</f>
        <v>0.38461538461538464</v>
      </c>
      <c r="C172" s="2">
        <f>MCWaterSavings!D171/MCWaterBefore!D171</f>
        <v>0.40000000000000008</v>
      </c>
      <c r="D172" s="2">
        <f>MCWaterSavings!E171/MCWaterBefore!E171</f>
        <v>0.58064516129032262</v>
      </c>
      <c r="E172" s="2">
        <f>MCWaterSavings!F171/MCWaterBefore!F171</f>
        <v>0</v>
      </c>
      <c r="F172" s="2">
        <f>MCWaterSavings!G171/MCWaterBefore!G171</f>
        <v>0.27736763160000005</v>
      </c>
    </row>
    <row r="173" spans="1:6" x14ac:dyDescent="0.35">
      <c r="A173" s="2">
        <f>MCWaterSavings!B172/MCWaterBefore!B172</f>
        <v>0.60571428571428576</v>
      </c>
      <c r="B173" s="2">
        <f>MCWaterSavings!C172/MCWaterBefore!C172</f>
        <v>0.38461538461538469</v>
      </c>
      <c r="C173" s="2">
        <f>MCWaterSavings!D172/MCWaterBefore!D172</f>
        <v>0.59090909090909105</v>
      </c>
      <c r="D173" s="2">
        <f>MCWaterSavings!E172/MCWaterBefore!E172</f>
        <v>0.4</v>
      </c>
      <c r="E173" s="2">
        <f>MCWaterSavings!F172/MCWaterBefore!F172</f>
        <v>-1.6384339790540954E-16</v>
      </c>
      <c r="F173" s="2">
        <f>MCWaterSavings!G172/MCWaterBefore!G172</f>
        <v>0.62499927695000002</v>
      </c>
    </row>
    <row r="174" spans="1:6" x14ac:dyDescent="0.35">
      <c r="A174" s="2">
        <f>MCWaterSavings!B173/MCWaterBefore!B173</f>
        <v>0.40000000000000008</v>
      </c>
      <c r="B174" s="2">
        <f>MCWaterSavings!C173/MCWaterBefore!C173</f>
        <v>0.38461538461538453</v>
      </c>
      <c r="C174" s="2">
        <f>MCWaterSavings!D173/MCWaterBefore!D173</f>
        <v>0.31818181818181818</v>
      </c>
      <c r="D174" s="2">
        <f>MCWaterSavings!E173/MCWaterBefore!E173</f>
        <v>0.40000000000000008</v>
      </c>
      <c r="E174" s="2">
        <f>MCWaterSavings!F173/MCWaterBefore!F173</f>
        <v>0.40000000000000008</v>
      </c>
      <c r="F174" s="2">
        <f>MCWaterSavings!G173/MCWaterBefore!G173</f>
        <v>0</v>
      </c>
    </row>
    <row r="175" spans="1:6" x14ac:dyDescent="0.35">
      <c r="A175" s="2">
        <f>MCWaterSavings!B174/MCWaterBefore!B174</f>
        <v>0.64000000000000012</v>
      </c>
      <c r="B175" s="2">
        <f>MCWaterSavings!C174/MCWaterBefore!C174</f>
        <v>1.6817579544617753E-16</v>
      </c>
      <c r="C175" s="2">
        <f>MCWaterSavings!D174/MCWaterBefore!D174</f>
        <v>0.59090909090909105</v>
      </c>
      <c r="D175" s="2">
        <f>MCWaterSavings!E174/MCWaterBefore!E174</f>
        <v>0.40000000000000008</v>
      </c>
      <c r="E175" s="2">
        <f>MCWaterSavings!F174/MCWaterBefore!F174</f>
        <v>0</v>
      </c>
      <c r="F175" s="2">
        <f>MCWaterSavings!G174/MCWaterBefore!G174</f>
        <v>0</v>
      </c>
    </row>
    <row r="176" spans="1:6" x14ac:dyDescent="0.35">
      <c r="A176" s="2">
        <f>MCWaterSavings!B175/MCWaterBefore!B175</f>
        <v>0.4</v>
      </c>
      <c r="B176" s="2">
        <f>MCWaterSavings!C175/MCWaterBefore!C175</f>
        <v>1.5598914360225163E-16</v>
      </c>
      <c r="C176" s="2">
        <f>MCWaterSavings!D175/MCWaterBefore!D175</f>
        <v>0.31818181818181829</v>
      </c>
      <c r="D176" s="2">
        <f>MCWaterSavings!E175/MCWaterBefore!E175</f>
        <v>0</v>
      </c>
      <c r="E176" s="2">
        <f>MCWaterSavings!F175/MCWaterBefore!F175</f>
        <v>0.40000000000000008</v>
      </c>
      <c r="F176" s="2">
        <f>MCWaterSavings!G175/MCWaterBefore!G175</f>
        <v>0.39785211054999986</v>
      </c>
    </row>
    <row r="177" spans="1:6" x14ac:dyDescent="0.35">
      <c r="A177" s="2">
        <f>MCWaterSavings!B176/MCWaterBefore!B176</f>
        <v>0</v>
      </c>
      <c r="B177" s="2">
        <f>MCWaterSavings!C176/MCWaterBefore!C176</f>
        <v>0.38461538461538464</v>
      </c>
      <c r="C177" s="2">
        <f>MCWaterSavings!D176/MCWaterBefore!D176</f>
        <v>0.31818181818181829</v>
      </c>
      <c r="D177" s="2">
        <f>MCWaterSavings!E176/MCWaterBefore!E176</f>
        <v>0</v>
      </c>
      <c r="E177" s="2">
        <f>MCWaterSavings!F176/MCWaterBefore!F176</f>
        <v>-1.6384339790540954E-16</v>
      </c>
      <c r="F177" s="2">
        <f>MCWaterSavings!G176/MCWaterBefore!G176</f>
        <v>0.46718520734999996</v>
      </c>
    </row>
    <row r="178" spans="1:6" x14ac:dyDescent="0.35">
      <c r="A178" s="2">
        <f>MCWaterSavings!B177/MCWaterBefore!B177</f>
        <v>0.28571428571428581</v>
      </c>
      <c r="B178" s="2">
        <f>MCWaterSavings!C177/MCWaterBefore!C177</f>
        <v>0.38461538461538464</v>
      </c>
      <c r="C178" s="2">
        <f>MCWaterSavings!D177/MCWaterBefore!D177</f>
        <v>0.31818181818181829</v>
      </c>
      <c r="D178" s="2">
        <f>MCWaterSavings!E177/MCWaterBefore!E177</f>
        <v>0</v>
      </c>
      <c r="E178" s="2">
        <f>MCWaterSavings!F177/MCWaterBefore!F177</f>
        <v>0.40000000000000008</v>
      </c>
      <c r="F178" s="2">
        <f>MCWaterSavings!G177/MCWaterBefore!G177</f>
        <v>0.28884523125</v>
      </c>
    </row>
    <row r="179" spans="1:6" x14ac:dyDescent="0.35">
      <c r="A179" s="2">
        <f>MCWaterSavings!B178/MCWaterBefore!B178</f>
        <v>0.64</v>
      </c>
      <c r="B179" s="2">
        <f>MCWaterSavings!C178/MCWaterBefore!C178</f>
        <v>0</v>
      </c>
      <c r="C179" s="2">
        <f>MCWaterSavings!D178/MCWaterBefore!D178</f>
        <v>0</v>
      </c>
      <c r="D179" s="2">
        <f>MCWaterSavings!E178/MCWaterBefore!E178</f>
        <v>0.4</v>
      </c>
      <c r="E179" s="2">
        <f>MCWaterSavings!F178/MCWaterBefore!F178</f>
        <v>0</v>
      </c>
      <c r="F179" s="2">
        <f>MCWaterSavings!G178/MCWaterBefore!G178</f>
        <v>0.68188165965000003</v>
      </c>
    </row>
    <row r="180" spans="1:6" x14ac:dyDescent="0.35">
      <c r="A180" s="2">
        <f>MCWaterSavings!B179/MCWaterBefore!B179</f>
        <v>0.40000000000000008</v>
      </c>
      <c r="B180" s="2">
        <f>MCWaterSavings!C179/MCWaterBefore!C179</f>
        <v>0.38461538461538464</v>
      </c>
      <c r="C180" s="2">
        <f>MCWaterSavings!D179/MCWaterBefore!D179</f>
        <v>0.31818181818181829</v>
      </c>
      <c r="D180" s="2">
        <f>MCWaterSavings!E179/MCWaterBefore!E179</f>
        <v>0.4</v>
      </c>
      <c r="E180" s="2">
        <f>MCWaterSavings!F179/MCWaterBefore!F179</f>
        <v>0</v>
      </c>
      <c r="F180" s="2">
        <f>MCWaterSavings!G179/MCWaterBefore!G179</f>
        <v>0.30769779189999991</v>
      </c>
    </row>
    <row r="181" spans="1:6" x14ac:dyDescent="0.35">
      <c r="A181" s="2">
        <f>MCWaterSavings!B180/MCWaterBefore!B180</f>
        <v>0.64</v>
      </c>
      <c r="B181" s="2">
        <f>MCWaterSavings!C180/MCWaterBefore!C180</f>
        <v>1.2813393938756385E-16</v>
      </c>
      <c r="C181" s="2">
        <f>MCWaterSavings!D180/MCWaterBefore!D180</f>
        <v>0</v>
      </c>
      <c r="D181" s="2">
        <f>MCWaterSavings!E180/MCWaterBefore!E180</f>
        <v>0.4</v>
      </c>
      <c r="E181" s="2">
        <f>MCWaterSavings!F180/MCWaterBefore!F180</f>
        <v>0</v>
      </c>
      <c r="F181" s="2">
        <f>MCWaterSavings!G180/MCWaterBefore!G180</f>
        <v>0.42586023740000001</v>
      </c>
    </row>
    <row r="182" spans="1:6" x14ac:dyDescent="0.35">
      <c r="A182" s="2">
        <f>MCWaterSavings!B181/MCWaterBefore!B181</f>
        <v>0.2857142857142857</v>
      </c>
      <c r="B182" s="2">
        <f>MCWaterSavings!C181/MCWaterBefore!C181</f>
        <v>0.38461538461538464</v>
      </c>
      <c r="C182" s="2">
        <f>MCWaterSavings!D181/MCWaterBefore!D181</f>
        <v>0.40000000000000013</v>
      </c>
      <c r="D182" s="2">
        <f>MCWaterSavings!E181/MCWaterBefore!E181</f>
        <v>0</v>
      </c>
      <c r="E182" s="2">
        <f>MCWaterSavings!F181/MCWaterBefore!F181</f>
        <v>0.40000000000000008</v>
      </c>
      <c r="F182" s="2">
        <f>MCWaterSavings!G181/MCWaterBefore!G181</f>
        <v>0.49076470174999998</v>
      </c>
    </row>
    <row r="183" spans="1:6" x14ac:dyDescent="0.35">
      <c r="A183" s="2">
        <f>MCWaterSavings!B182/MCWaterBefore!B182</f>
        <v>0.2857142857142857</v>
      </c>
      <c r="B183" s="2">
        <f>MCWaterSavings!C182/MCWaterBefore!C182</f>
        <v>0.38461538461538464</v>
      </c>
      <c r="C183" s="2">
        <f>MCWaterSavings!D182/MCWaterBefore!D182</f>
        <v>0.40000000000000013</v>
      </c>
      <c r="D183" s="2">
        <f>MCWaterSavings!E182/MCWaterBefore!E182</f>
        <v>0.4</v>
      </c>
      <c r="E183" s="2">
        <f>MCWaterSavings!F182/MCWaterBefore!F182</f>
        <v>0</v>
      </c>
      <c r="F183" s="2">
        <f>MCWaterSavings!G182/MCWaterBefore!G182</f>
        <v>0.38154699754999999</v>
      </c>
    </row>
    <row r="184" spans="1:6" x14ac:dyDescent="0.35">
      <c r="A184" s="2">
        <f>MCWaterSavings!B183/MCWaterBefore!B183</f>
        <v>0.57142857142857151</v>
      </c>
      <c r="B184" s="2">
        <f>MCWaterSavings!C183/MCWaterBefore!C183</f>
        <v>-1.2515408033203913E-16</v>
      </c>
      <c r="C184" s="2">
        <f>MCWaterSavings!D183/MCWaterBefore!D183</f>
        <v>0.40000000000000013</v>
      </c>
      <c r="D184" s="2">
        <f>MCWaterSavings!E183/MCWaterBefore!E183</f>
        <v>0.40000000000000008</v>
      </c>
      <c r="E184" s="2">
        <f>MCWaterSavings!F183/MCWaterBefore!F183</f>
        <v>0.40000000000000008</v>
      </c>
      <c r="F184" s="2">
        <f>MCWaterSavings!G183/MCWaterBefore!G183</f>
        <v>0</v>
      </c>
    </row>
    <row r="185" spans="1:6" x14ac:dyDescent="0.35">
      <c r="A185" s="2">
        <f>MCWaterSavings!B184/MCWaterBefore!B184</f>
        <v>0.65263157894736834</v>
      </c>
      <c r="B185" s="2">
        <f>MCWaterSavings!C184/MCWaterBefore!C184</f>
        <v>0.38461538461538464</v>
      </c>
      <c r="C185" s="2">
        <f>MCWaterSavings!D184/MCWaterBefore!D184</f>
        <v>0.59090909090909105</v>
      </c>
      <c r="D185" s="2">
        <f>MCWaterSavings!E184/MCWaterBefore!E184</f>
        <v>0.4</v>
      </c>
      <c r="E185" s="2">
        <f>MCWaterSavings!F184/MCWaterBefore!F184</f>
        <v>0</v>
      </c>
      <c r="F185" s="2">
        <f>MCWaterSavings!G184/MCWaterBefore!G184</f>
        <v>0.1940752147</v>
      </c>
    </row>
    <row r="186" spans="1:6" x14ac:dyDescent="0.35">
      <c r="A186" s="2">
        <f>MCWaterSavings!B185/MCWaterBefore!B185</f>
        <v>0.4</v>
      </c>
      <c r="B186" s="2">
        <f>MCWaterSavings!C185/MCWaterBefore!C185</f>
        <v>-1.2515408033203913E-16</v>
      </c>
      <c r="C186" s="2">
        <f>MCWaterSavings!D185/MCWaterBefore!D185</f>
        <v>0.40000000000000008</v>
      </c>
      <c r="D186" s="2">
        <f>MCWaterSavings!E185/MCWaterBefore!E185</f>
        <v>0</v>
      </c>
      <c r="E186" s="2">
        <f>MCWaterSavings!F185/MCWaterBefore!F185</f>
        <v>0.3999999999999998</v>
      </c>
      <c r="F186" s="2">
        <f>MCWaterSavings!G185/MCWaterBefore!G185</f>
        <v>0</v>
      </c>
    </row>
    <row r="187" spans="1:6" x14ac:dyDescent="0.35">
      <c r="A187" s="2">
        <f>MCWaterSavings!B186/MCWaterBefore!B186</f>
        <v>0</v>
      </c>
      <c r="B187" s="2">
        <f>MCWaterSavings!C186/MCWaterBefore!C186</f>
        <v>1.7360082110573164E-16</v>
      </c>
      <c r="C187" s="2">
        <f>MCWaterSavings!D186/MCWaterBefore!D186</f>
        <v>1.4790936766513712E-16</v>
      </c>
      <c r="D187" s="2">
        <f>MCWaterSavings!E186/MCWaterBefore!E186</f>
        <v>0.40000000000000008</v>
      </c>
      <c r="E187" s="2">
        <f>MCWaterSavings!F186/MCWaterBefore!F186</f>
        <v>0</v>
      </c>
      <c r="F187" s="2">
        <f>MCWaterSavings!G186/MCWaterBefore!G186</f>
        <v>0</v>
      </c>
    </row>
    <row r="188" spans="1:6" x14ac:dyDescent="0.35">
      <c r="A188" s="2">
        <f>MCWaterSavings!B187/MCWaterBefore!B187</f>
        <v>0.2857142857142857</v>
      </c>
      <c r="B188" s="2">
        <f>MCWaterSavings!C187/MCWaterBefore!C187</f>
        <v>0</v>
      </c>
      <c r="C188" s="2">
        <f>MCWaterSavings!D187/MCWaterBefore!D187</f>
        <v>0</v>
      </c>
      <c r="D188" s="2">
        <f>MCWaterSavings!E187/MCWaterBefore!E187</f>
        <v>0.4</v>
      </c>
      <c r="E188" s="2">
        <f>MCWaterSavings!F187/MCWaterBefore!F187</f>
        <v>0.40000000000000008</v>
      </c>
      <c r="F188" s="2">
        <f>MCWaterSavings!G187/MCWaterBefore!G187</f>
        <v>0</v>
      </c>
    </row>
    <row r="189" spans="1:6" x14ac:dyDescent="0.35">
      <c r="A189" s="2">
        <f>MCWaterSavings!B188/MCWaterBefore!B188</f>
        <v>0.52</v>
      </c>
      <c r="B189" s="2">
        <f>MCWaterSavings!C188/MCWaterBefore!C188</f>
        <v>0.38461538461538453</v>
      </c>
      <c r="C189" s="2">
        <f>MCWaterSavings!D188/MCWaterBefore!D188</f>
        <v>0.59090909090909105</v>
      </c>
      <c r="D189" s="2">
        <f>MCWaterSavings!E188/MCWaterBefore!E188</f>
        <v>0</v>
      </c>
      <c r="E189" s="2">
        <f>MCWaterSavings!F188/MCWaterBefore!F188</f>
        <v>0.4</v>
      </c>
      <c r="F189" s="2">
        <f>MCWaterSavings!G188/MCWaterBefore!G188</f>
        <v>0.3833564678500001</v>
      </c>
    </row>
    <row r="190" spans="1:6" x14ac:dyDescent="0.35">
      <c r="A190" s="2">
        <f>MCWaterSavings!B189/MCWaterBefore!B189</f>
        <v>0.4</v>
      </c>
      <c r="B190" s="2">
        <f>MCWaterSavings!C189/MCWaterBefore!C189</f>
        <v>0.38461538461538464</v>
      </c>
      <c r="C190" s="2">
        <f>MCWaterSavings!D189/MCWaterBefore!D189</f>
        <v>0.59090909090909105</v>
      </c>
      <c r="D190" s="2">
        <f>MCWaterSavings!E189/MCWaterBefore!E189</f>
        <v>0.40000000000000008</v>
      </c>
      <c r="E190" s="2">
        <f>MCWaterSavings!F189/MCWaterBefore!F189</f>
        <v>0.40000000000000008</v>
      </c>
      <c r="F190" s="2">
        <f>MCWaterSavings!G189/MCWaterBefore!G189</f>
        <v>0.54854171499999993</v>
      </c>
    </row>
    <row r="191" spans="1:6" x14ac:dyDescent="0.35">
      <c r="A191" s="2">
        <f>MCWaterSavings!B190/MCWaterBefore!B190</f>
        <v>0.18666666666666665</v>
      </c>
      <c r="B191" s="2">
        <f>MCWaterSavings!C190/MCWaterBefore!C190</f>
        <v>-1.1827748251159742E-16</v>
      </c>
      <c r="C191" s="2">
        <f>MCWaterSavings!D190/MCWaterBefore!D190</f>
        <v>0.31818181818181829</v>
      </c>
      <c r="D191" s="2">
        <f>MCWaterSavings!E190/MCWaterBefore!E190</f>
        <v>0.4</v>
      </c>
      <c r="E191" s="2">
        <f>MCWaterSavings!F190/MCWaterBefore!F190</f>
        <v>0</v>
      </c>
      <c r="F191" s="2">
        <f>MCWaterSavings!G190/MCWaterBefore!G190</f>
        <v>0.49300091594999995</v>
      </c>
    </row>
    <row r="192" spans="1:6" x14ac:dyDescent="0.35">
      <c r="A192" s="2">
        <f>MCWaterSavings!B191/MCWaterBefore!B191</f>
        <v>0.74285714285714288</v>
      </c>
      <c r="B192" s="2">
        <f>MCWaterSavings!C191/MCWaterBefore!C191</f>
        <v>-1.7644673620582567E-16</v>
      </c>
      <c r="C192" s="2">
        <f>MCWaterSavings!D191/MCWaterBefore!D191</f>
        <v>0.40000000000000008</v>
      </c>
      <c r="D192" s="2">
        <f>MCWaterSavings!E191/MCWaterBefore!E191</f>
        <v>0</v>
      </c>
      <c r="E192" s="2">
        <f>MCWaterSavings!F191/MCWaterBefore!F191</f>
        <v>0.4</v>
      </c>
      <c r="F192" s="2">
        <f>MCWaterSavings!G191/MCWaterBefore!G191</f>
        <v>0.69201996860000003</v>
      </c>
    </row>
    <row r="193" spans="1:6" x14ac:dyDescent="0.35">
      <c r="A193" s="2">
        <f>MCWaterSavings!B192/MCWaterBefore!B192</f>
        <v>0</v>
      </c>
      <c r="B193" s="2">
        <f>MCWaterSavings!C192/MCWaterBefore!C192</f>
        <v>0.38461538461538453</v>
      </c>
      <c r="C193" s="2">
        <f>MCWaterSavings!D192/MCWaterBefore!D192</f>
        <v>0.59090909090909105</v>
      </c>
      <c r="D193" s="2">
        <f>MCWaterSavings!E192/MCWaterBefore!E192</f>
        <v>0.40000000000000013</v>
      </c>
      <c r="E193" s="2">
        <f>MCWaterSavings!F192/MCWaterBefore!F192</f>
        <v>-1.2743375392642965E-16</v>
      </c>
      <c r="F193" s="2">
        <f>MCWaterSavings!G192/MCWaterBefore!G192</f>
        <v>0</v>
      </c>
    </row>
    <row r="194" spans="1:6" x14ac:dyDescent="0.35">
      <c r="A194" s="2">
        <f>MCWaterSavings!B193/MCWaterBefore!B193</f>
        <v>0.47199999999999992</v>
      </c>
      <c r="B194" s="2">
        <f>MCWaterSavings!C193/MCWaterBefore!C193</f>
        <v>0.38461538461538475</v>
      </c>
      <c r="C194" s="2">
        <f>MCWaterSavings!D193/MCWaterBefore!D193</f>
        <v>0.31818181818181829</v>
      </c>
      <c r="D194" s="2">
        <f>MCWaterSavings!E193/MCWaterBefore!E193</f>
        <v>0</v>
      </c>
      <c r="E194" s="2">
        <f>MCWaterSavings!F193/MCWaterBefore!F193</f>
        <v>0.40000000000000008</v>
      </c>
      <c r="F194" s="2">
        <f>MCWaterSavings!G193/MCWaterBefore!G193</f>
        <v>0.44705599330000007</v>
      </c>
    </row>
    <row r="195" spans="1:6" x14ac:dyDescent="0.35">
      <c r="A195" s="2">
        <f>MCWaterSavings!B194/MCWaterBefore!B194</f>
        <v>0.2857142857142857</v>
      </c>
      <c r="B195" s="2">
        <f>MCWaterSavings!C194/MCWaterBefore!C194</f>
        <v>1.1450266923995066E-16</v>
      </c>
      <c r="C195" s="2">
        <f>MCWaterSavings!D194/MCWaterBefore!D194</f>
        <v>0.4</v>
      </c>
      <c r="D195" s="2">
        <f>MCWaterSavings!E194/MCWaterBefore!E194</f>
        <v>0.58064516129032262</v>
      </c>
      <c r="E195" s="2">
        <f>MCWaterSavings!F194/MCWaterBefore!F194</f>
        <v>0</v>
      </c>
      <c r="F195" s="2">
        <f>MCWaterSavings!G194/MCWaterBefore!G194</f>
        <v>0.41666503105000002</v>
      </c>
    </row>
    <row r="196" spans="1:6" x14ac:dyDescent="0.35">
      <c r="A196" s="2">
        <f>MCWaterSavings!B195/MCWaterBefore!B195</f>
        <v>0.2857142857142857</v>
      </c>
      <c r="B196" s="2">
        <f>MCWaterSavings!C195/MCWaterBefore!C195</f>
        <v>0</v>
      </c>
      <c r="C196" s="2">
        <f>MCWaterSavings!D195/MCWaterBefore!D195</f>
        <v>0.31818181818181829</v>
      </c>
      <c r="D196" s="2">
        <f>MCWaterSavings!E195/MCWaterBefore!E195</f>
        <v>0.4</v>
      </c>
      <c r="E196" s="2">
        <f>MCWaterSavings!F195/MCWaterBefore!F195</f>
        <v>-1.6384339790540954E-16</v>
      </c>
      <c r="F196" s="2">
        <f>MCWaterSavings!G195/MCWaterBefore!G195</f>
        <v>0.19962648074999984</v>
      </c>
    </row>
    <row r="197" spans="1:6" x14ac:dyDescent="0.35">
      <c r="A197" s="2">
        <f>MCWaterSavings!B196/MCWaterBefore!B196</f>
        <v>0.57250000000000012</v>
      </c>
      <c r="B197" s="2">
        <f>MCWaterSavings!C196/MCWaterBefore!C196</f>
        <v>0.38461538461538464</v>
      </c>
      <c r="C197" s="2">
        <f>MCWaterSavings!D196/MCWaterBefore!D196</f>
        <v>0.4</v>
      </c>
      <c r="D197" s="2">
        <f>MCWaterSavings!E196/MCWaterBefore!E196</f>
        <v>0.4</v>
      </c>
      <c r="E197" s="2">
        <f>MCWaterSavings!F196/MCWaterBefore!F196</f>
        <v>0</v>
      </c>
      <c r="F197" s="2">
        <f>MCWaterSavings!G196/MCWaterBefore!G196</f>
        <v>0.26114877894999994</v>
      </c>
    </row>
    <row r="198" spans="1:6" x14ac:dyDescent="0.35">
      <c r="A198" s="2">
        <f>MCWaterSavings!B197/MCWaterBefore!B197</f>
        <v>0</v>
      </c>
      <c r="B198" s="2">
        <f>MCWaterSavings!C197/MCWaterBefore!C197</f>
        <v>0</v>
      </c>
      <c r="C198" s="2">
        <f>MCWaterSavings!D197/MCWaterBefore!D197</f>
        <v>0.59090909090909094</v>
      </c>
      <c r="D198" s="2">
        <f>MCWaterSavings!E197/MCWaterBefore!E197</f>
        <v>0.40000000000000013</v>
      </c>
      <c r="E198" s="2">
        <f>MCWaterSavings!F197/MCWaterBefore!F197</f>
        <v>0.40000000000000008</v>
      </c>
      <c r="F198" s="2">
        <f>MCWaterSavings!G197/MCWaterBefore!G197</f>
        <v>0.37667279744999993</v>
      </c>
    </row>
    <row r="199" spans="1:6" x14ac:dyDescent="0.35">
      <c r="A199" s="2">
        <f>MCWaterSavings!B198/MCWaterBefore!B198</f>
        <v>0.5714285714285714</v>
      </c>
      <c r="B199" s="2">
        <f>MCWaterSavings!C198/MCWaterBefore!C198</f>
        <v>1.6817579544617753E-16</v>
      </c>
      <c r="C199" s="2">
        <f>MCWaterSavings!D198/MCWaterBefore!D198</f>
        <v>0</v>
      </c>
      <c r="D199" s="2">
        <f>MCWaterSavings!E198/MCWaterBefore!E198</f>
        <v>0</v>
      </c>
      <c r="E199" s="2">
        <f>MCWaterSavings!F198/MCWaterBefore!F198</f>
        <v>-1.6384339790540954E-16</v>
      </c>
      <c r="F199" s="2">
        <f>MCWaterSavings!G198/MCWaterBefore!G198</f>
        <v>0.17656222084999992</v>
      </c>
    </row>
    <row r="200" spans="1:6" x14ac:dyDescent="0.35">
      <c r="A200" s="2">
        <f>MCWaterSavings!B199/MCWaterBefore!B199</f>
        <v>0.2857142857142857</v>
      </c>
      <c r="B200" s="2">
        <f>MCWaterSavings!C199/MCWaterBefore!C199</f>
        <v>1.6817579544617753E-16</v>
      </c>
      <c r="C200" s="2">
        <f>MCWaterSavings!D199/MCWaterBefore!D199</f>
        <v>1.2720205619201791E-16</v>
      </c>
      <c r="D200" s="2">
        <f>MCWaterSavings!E199/MCWaterBefore!E199</f>
        <v>0.4</v>
      </c>
      <c r="E200" s="2">
        <f>MCWaterSavings!F199/MCWaterBefore!F199</f>
        <v>0.3999999999999998</v>
      </c>
      <c r="F200" s="2">
        <f>MCWaterSavings!G199/MCWaterBefore!G199</f>
        <v>0.5057823588</v>
      </c>
    </row>
    <row r="201" spans="1:6" x14ac:dyDescent="0.35">
      <c r="A201" s="2">
        <f>MCWaterSavings!B200/MCWaterBefore!B200</f>
        <v>0.63673469387755111</v>
      </c>
      <c r="B201" s="2">
        <f>MCWaterSavings!C200/MCWaterBefore!C200</f>
        <v>0.38461538461538453</v>
      </c>
      <c r="C201" s="2">
        <f>MCWaterSavings!D200/MCWaterBefore!D200</f>
        <v>0.59090909090909105</v>
      </c>
      <c r="D201" s="2">
        <f>MCWaterSavings!E200/MCWaterBefore!E200</f>
        <v>0</v>
      </c>
      <c r="E201" s="2">
        <f>MCWaterSavings!F200/MCWaterBefore!F200</f>
        <v>0</v>
      </c>
      <c r="F201" s="2">
        <f>MCWaterSavings!G200/MCWaterBefore!G200</f>
        <v>0.27036129710000012</v>
      </c>
    </row>
    <row r="202" spans="1:6" x14ac:dyDescent="0.35">
      <c r="A202" s="2">
        <f>MCWaterSavings!B201/MCWaterBefore!B201</f>
        <v>0.40000000000000008</v>
      </c>
      <c r="B202" s="2">
        <f>MCWaterSavings!C201/MCWaterBefore!C201</f>
        <v>0.38461538461538464</v>
      </c>
      <c r="C202" s="2">
        <f>MCWaterSavings!D201/MCWaterBefore!D201</f>
        <v>0.4</v>
      </c>
      <c r="D202" s="2">
        <f>MCWaterSavings!E201/MCWaterBefore!E201</f>
        <v>0</v>
      </c>
      <c r="E202" s="2">
        <f>MCWaterSavings!F201/MCWaterBefore!F201</f>
        <v>0.40000000000000008</v>
      </c>
      <c r="F202" s="2">
        <f>MCWaterSavings!G201/MCWaterBefore!G201</f>
        <v>0.27872373029999997</v>
      </c>
    </row>
    <row r="203" spans="1:6" x14ac:dyDescent="0.35">
      <c r="A203" s="2">
        <f>MCWaterSavings!B202/MCWaterBefore!B202</f>
        <v>0.55000000000000004</v>
      </c>
      <c r="B203" s="2">
        <f>MCWaterSavings!C202/MCWaterBefore!C202</f>
        <v>0.38461538461538464</v>
      </c>
      <c r="C203" s="2">
        <f>MCWaterSavings!D202/MCWaterBefore!D202</f>
        <v>0.40000000000000008</v>
      </c>
      <c r="D203" s="2">
        <f>MCWaterSavings!E202/MCWaterBefore!E202</f>
        <v>0</v>
      </c>
      <c r="E203" s="2">
        <f>MCWaterSavings!F202/MCWaterBefore!F202</f>
        <v>-1.2743375392642965E-16</v>
      </c>
      <c r="F203" s="2">
        <f>MCWaterSavings!G202/MCWaterBefore!G202</f>
        <v>0.63349683250000011</v>
      </c>
    </row>
    <row r="204" spans="1:6" x14ac:dyDescent="0.35">
      <c r="A204" s="2">
        <f>MCWaterSavings!B203/MCWaterBefore!B203</f>
        <v>0.43609022556390975</v>
      </c>
      <c r="B204" s="2">
        <f>MCWaterSavings!C203/MCWaterBefore!C203</f>
        <v>0</v>
      </c>
      <c r="C204" s="2">
        <f>MCWaterSavings!D203/MCWaterBefore!D203</f>
        <v>0.59090909090909094</v>
      </c>
      <c r="D204" s="2">
        <f>MCWaterSavings!E203/MCWaterBefore!E203</f>
        <v>0</v>
      </c>
      <c r="E204" s="2">
        <f>MCWaterSavings!F203/MCWaterBefore!F203</f>
        <v>0</v>
      </c>
      <c r="F204" s="2">
        <f>MCWaterSavings!G203/MCWaterBefore!G203</f>
        <v>0.28916011669999991</v>
      </c>
    </row>
    <row r="205" spans="1:6" x14ac:dyDescent="0.35">
      <c r="A205" s="2">
        <f>MCWaterSavings!B204/MCWaterBefore!B204</f>
        <v>0.2857142857142857</v>
      </c>
      <c r="B205" s="2">
        <f>MCWaterSavings!C204/MCWaterBefore!C204</f>
        <v>0</v>
      </c>
      <c r="C205" s="2">
        <f>MCWaterSavings!D204/MCWaterBefore!D204</f>
        <v>0.4</v>
      </c>
      <c r="D205" s="2">
        <f>MCWaterSavings!E204/MCWaterBefore!E204</f>
        <v>0.4</v>
      </c>
      <c r="E205" s="2">
        <f>MCWaterSavings!F204/MCWaterBefore!F204</f>
        <v>0.4</v>
      </c>
      <c r="F205" s="2">
        <f>MCWaterSavings!G204/MCWaterBefore!G204</f>
        <v>0</v>
      </c>
    </row>
    <row r="206" spans="1:6" x14ac:dyDescent="0.35">
      <c r="A206" s="2">
        <f>MCWaterSavings!B205/MCWaterBefore!B205</f>
        <v>0.5714285714285714</v>
      </c>
      <c r="B206" s="2">
        <f>MCWaterSavings!C205/MCWaterBefore!C205</f>
        <v>0</v>
      </c>
      <c r="C206" s="2">
        <f>MCWaterSavings!D205/MCWaterBefore!D205</f>
        <v>0.40000000000000008</v>
      </c>
      <c r="D206" s="2">
        <f>MCWaterSavings!E205/MCWaterBefore!E205</f>
        <v>0.58064516129032262</v>
      </c>
      <c r="E206" s="2">
        <f>MCWaterSavings!F205/MCWaterBefore!F205</f>
        <v>0.40000000000000008</v>
      </c>
      <c r="F206" s="2">
        <f>MCWaterSavings!G205/MCWaterBefore!G205</f>
        <v>0.66093806719999992</v>
      </c>
    </row>
    <row r="207" spans="1:6" x14ac:dyDescent="0.35">
      <c r="A207" s="2">
        <f>MCWaterSavings!B206/MCWaterBefore!B206</f>
        <v>0.74285714285714288</v>
      </c>
      <c r="B207" s="2">
        <f>MCWaterSavings!C206/MCWaterBefore!C206</f>
        <v>0.38461538461538464</v>
      </c>
      <c r="C207" s="2">
        <f>MCWaterSavings!D206/MCWaterBefore!D206</f>
        <v>0.59090909090909105</v>
      </c>
      <c r="D207" s="2">
        <f>MCWaterSavings!E206/MCWaterBefore!E206</f>
        <v>0</v>
      </c>
      <c r="E207" s="2">
        <f>MCWaterSavings!F206/MCWaterBefore!F206</f>
        <v>0.4</v>
      </c>
      <c r="F207" s="2">
        <f>MCWaterSavings!G206/MCWaterBefore!G206</f>
        <v>0.38257799784999985</v>
      </c>
    </row>
    <row r="208" spans="1:6" x14ac:dyDescent="0.35">
      <c r="A208" s="2">
        <f>MCWaterSavings!B207/MCWaterBefore!B207</f>
        <v>0.28571428571428586</v>
      </c>
      <c r="B208" s="2">
        <f>MCWaterSavings!C207/MCWaterBefore!C207</f>
        <v>0.38461538461538464</v>
      </c>
      <c r="C208" s="2">
        <f>MCWaterSavings!D207/MCWaterBefore!D207</f>
        <v>0.31818181818181818</v>
      </c>
      <c r="D208" s="2">
        <f>MCWaterSavings!E207/MCWaterBefore!E207</f>
        <v>0.4</v>
      </c>
      <c r="E208" s="2">
        <f>MCWaterSavings!F207/MCWaterBefore!F207</f>
        <v>0</v>
      </c>
      <c r="F208" s="2">
        <f>MCWaterSavings!G207/MCWaterBefore!G207</f>
        <v>0</v>
      </c>
    </row>
    <row r="209" spans="1:6" x14ac:dyDescent="0.35">
      <c r="A209" s="2">
        <f>MCWaterSavings!B208/MCWaterBefore!B208</f>
        <v>0.64</v>
      </c>
      <c r="B209" s="2">
        <f>MCWaterSavings!C208/MCWaterBefore!C208</f>
        <v>0.38461538461538464</v>
      </c>
      <c r="C209" s="2">
        <f>MCWaterSavings!D208/MCWaterBefore!D208</f>
        <v>0.40000000000000008</v>
      </c>
      <c r="D209" s="2">
        <f>MCWaterSavings!E208/MCWaterBefore!E208</f>
        <v>0.4</v>
      </c>
      <c r="E209" s="2">
        <f>MCWaterSavings!F208/MCWaterBefore!F208</f>
        <v>-1.2743375392642965E-16</v>
      </c>
      <c r="F209" s="2">
        <f>MCWaterSavings!G208/MCWaterBefore!G208</f>
        <v>0.56731934584999999</v>
      </c>
    </row>
    <row r="210" spans="1:6" x14ac:dyDescent="0.35">
      <c r="A210" s="2">
        <f>MCWaterSavings!B209/MCWaterBefore!B209</f>
        <v>0.57142857142857151</v>
      </c>
      <c r="B210" s="2">
        <f>MCWaterSavings!C209/MCWaterBefore!C209</f>
        <v>0.38461538461538464</v>
      </c>
      <c r="C210" s="2">
        <f>MCWaterSavings!D209/MCWaterBefore!D209</f>
        <v>0.4</v>
      </c>
      <c r="D210" s="2">
        <f>MCWaterSavings!E209/MCWaterBefore!E209</f>
        <v>0.4</v>
      </c>
      <c r="E210" s="2">
        <f>MCWaterSavings!F209/MCWaterBefore!F209</f>
        <v>0</v>
      </c>
      <c r="F210" s="2">
        <f>MCWaterSavings!G209/MCWaterBefore!G209</f>
        <v>0</v>
      </c>
    </row>
    <row r="211" spans="1:6" x14ac:dyDescent="0.35">
      <c r="A211" s="2">
        <f>MCWaterSavings!B210/MCWaterBefore!B210</f>
        <v>0.57142857142857151</v>
      </c>
      <c r="B211" s="2">
        <f>MCWaterSavings!C210/MCWaterBefore!C210</f>
        <v>0.38461538461538469</v>
      </c>
      <c r="C211" s="2">
        <f>MCWaterSavings!D210/MCWaterBefore!D210</f>
        <v>1.4964947787296227E-16</v>
      </c>
      <c r="D211" s="2">
        <f>MCWaterSavings!E210/MCWaterBefore!E210</f>
        <v>0.40000000000000008</v>
      </c>
      <c r="E211" s="2">
        <f>MCWaterSavings!F210/MCWaterBefore!F210</f>
        <v>0.40000000000000008</v>
      </c>
      <c r="F211" s="2">
        <f>MCWaterSavings!G210/MCWaterBefore!G210</f>
        <v>0</v>
      </c>
    </row>
    <row r="212" spans="1:6" x14ac:dyDescent="0.35">
      <c r="A212" s="2">
        <f>MCWaterSavings!B211/MCWaterBefore!B211</f>
        <v>0.65714285714285725</v>
      </c>
      <c r="B212" s="2">
        <f>MCWaterSavings!C211/MCWaterBefore!C211</f>
        <v>0.38461538461538464</v>
      </c>
      <c r="C212" s="2">
        <f>MCWaterSavings!D211/MCWaterBefore!D211</f>
        <v>0.59090909090909105</v>
      </c>
      <c r="D212" s="2">
        <f>MCWaterSavings!E211/MCWaterBefore!E211</f>
        <v>0.4</v>
      </c>
      <c r="E212" s="2">
        <f>MCWaterSavings!F211/MCWaterBefore!F211</f>
        <v>0.4</v>
      </c>
      <c r="F212" s="2">
        <f>MCWaterSavings!G211/MCWaterBefore!G211</f>
        <v>0.41694916105000002</v>
      </c>
    </row>
    <row r="213" spans="1:6" x14ac:dyDescent="0.35">
      <c r="A213" s="2">
        <f>MCWaterSavings!B212/MCWaterBefore!B212</f>
        <v>0.2875000000000002</v>
      </c>
      <c r="B213" s="2">
        <f>MCWaterSavings!C212/MCWaterBefore!C212</f>
        <v>0.38461538461538469</v>
      </c>
      <c r="C213" s="2">
        <f>MCWaterSavings!D212/MCWaterBefore!D212</f>
        <v>0.59090909090909094</v>
      </c>
      <c r="D213" s="2">
        <f>MCWaterSavings!E212/MCWaterBefore!E212</f>
        <v>0</v>
      </c>
      <c r="E213" s="2">
        <f>MCWaterSavings!F212/MCWaterBefore!F212</f>
        <v>0.40000000000000008</v>
      </c>
      <c r="F213" s="2">
        <f>MCWaterSavings!G212/MCWaterBefore!G212</f>
        <v>0.38298718134999993</v>
      </c>
    </row>
    <row r="214" spans="1:6" x14ac:dyDescent="0.35">
      <c r="A214" s="2">
        <f>MCWaterSavings!B213/MCWaterBefore!B213</f>
        <v>0.2857142857142857</v>
      </c>
      <c r="B214" s="2">
        <f>MCWaterSavings!C213/MCWaterBefore!C213</f>
        <v>0.38461538461538469</v>
      </c>
      <c r="C214" s="2">
        <f>MCWaterSavings!D213/MCWaterBefore!D213</f>
        <v>1.462092599908252E-16</v>
      </c>
      <c r="D214" s="2">
        <f>MCWaterSavings!E213/MCWaterBefore!E213</f>
        <v>0</v>
      </c>
      <c r="E214" s="2">
        <f>MCWaterSavings!F213/MCWaterBefore!F213</f>
        <v>-1.2743375392642965E-16</v>
      </c>
      <c r="F214" s="2">
        <f>MCWaterSavings!G213/MCWaterBefore!G213</f>
        <v>0.41294195675000001</v>
      </c>
    </row>
    <row r="215" spans="1:6" x14ac:dyDescent="0.35">
      <c r="A215" s="2">
        <f>MCWaterSavings!B214/MCWaterBefore!B214</f>
        <v>0.34126984126984117</v>
      </c>
      <c r="B215" s="2">
        <f>MCWaterSavings!C214/MCWaterBefore!C214</f>
        <v>1.4948959595215781E-16</v>
      </c>
      <c r="C215" s="2">
        <f>MCWaterSavings!D214/MCWaterBefore!D214</f>
        <v>0.3181818181818184</v>
      </c>
      <c r="D215" s="2">
        <f>MCWaterSavings!E214/MCWaterBefore!E214</f>
        <v>0</v>
      </c>
      <c r="E215" s="2">
        <f>MCWaterSavings!F214/MCWaterBefore!F214</f>
        <v>0.4</v>
      </c>
      <c r="F215" s="2">
        <f>MCWaterSavings!G214/MCWaterBefore!G214</f>
        <v>-1.1656974967122541E-16</v>
      </c>
    </row>
    <row r="216" spans="1:6" x14ac:dyDescent="0.35">
      <c r="A216" s="2">
        <f>MCWaterSavings!B215/MCWaterBefore!B215</f>
        <v>0.74285714285714288</v>
      </c>
      <c r="B216" s="2">
        <f>MCWaterSavings!C215/MCWaterBefore!C215</f>
        <v>0.38461538461538464</v>
      </c>
      <c r="C216" s="2">
        <f>MCWaterSavings!D215/MCWaterBefore!D215</f>
        <v>0.39999999999999997</v>
      </c>
      <c r="D216" s="2">
        <f>MCWaterSavings!E215/MCWaterBefore!E215</f>
        <v>0.40000000000000013</v>
      </c>
      <c r="E216" s="2">
        <f>MCWaterSavings!F215/MCWaterBefore!F215</f>
        <v>-1.6384339790540954E-16</v>
      </c>
      <c r="F216" s="2">
        <f>MCWaterSavings!G215/MCWaterBefore!G215</f>
        <v>0</v>
      </c>
    </row>
    <row r="217" spans="1:6" x14ac:dyDescent="0.35">
      <c r="A217" s="2">
        <f>MCWaterSavings!B216/MCWaterBefore!B216</f>
        <v>0.64</v>
      </c>
      <c r="B217" s="2">
        <f>MCWaterSavings!C216/MCWaterBefore!C216</f>
        <v>0</v>
      </c>
      <c r="C217" s="2">
        <f>MCWaterSavings!D216/MCWaterBefore!D216</f>
        <v>0.40000000000000008</v>
      </c>
      <c r="D217" s="2">
        <f>MCWaterSavings!E216/MCWaterBefore!E216</f>
        <v>0</v>
      </c>
      <c r="E217" s="2">
        <f>MCWaterSavings!F216/MCWaterBefore!F216</f>
        <v>0.4</v>
      </c>
      <c r="F217" s="2">
        <f>MCWaterSavings!G216/MCWaterBefore!G216</f>
        <v>0</v>
      </c>
    </row>
    <row r="218" spans="1:6" x14ac:dyDescent="0.35">
      <c r="A218" s="2">
        <f>MCWaterSavings!B217/MCWaterBefore!B217</f>
        <v>0.59354838709677427</v>
      </c>
      <c r="B218" s="2">
        <f>MCWaterSavings!C217/MCWaterBefore!C217</f>
        <v>1.3125915742140686E-16</v>
      </c>
      <c r="C218" s="2">
        <f>MCWaterSavings!D217/MCWaterBefore!D217</f>
        <v>0.31818181818181829</v>
      </c>
      <c r="D218" s="2">
        <f>MCWaterSavings!E217/MCWaterBefore!E217</f>
        <v>0</v>
      </c>
      <c r="E218" s="2">
        <f>MCWaterSavings!F217/MCWaterBefore!F217</f>
        <v>0.40000000000000008</v>
      </c>
      <c r="F218" s="2">
        <f>MCWaterSavings!G217/MCWaterBefore!G217</f>
        <v>0.23181507179999991</v>
      </c>
    </row>
    <row r="219" spans="1:6" x14ac:dyDescent="0.35">
      <c r="A219" s="2">
        <f>MCWaterSavings!B218/MCWaterBefore!B218</f>
        <v>0.57142857142857151</v>
      </c>
      <c r="B219" s="2">
        <f>MCWaterSavings!C218/MCWaterBefore!C218</f>
        <v>0.38461538461538464</v>
      </c>
      <c r="C219" s="2">
        <f>MCWaterSavings!D218/MCWaterBefore!D218</f>
        <v>1.1357326445715885E-16</v>
      </c>
      <c r="D219" s="2">
        <f>MCWaterSavings!E218/MCWaterBefore!E218</f>
        <v>0</v>
      </c>
      <c r="E219" s="2">
        <f>MCWaterSavings!F218/MCWaterBefore!F218</f>
        <v>-1.2743375392642965E-16</v>
      </c>
      <c r="F219" s="2">
        <f>MCWaterSavings!G218/MCWaterBefore!G218</f>
        <v>0.65148847650000008</v>
      </c>
    </row>
    <row r="220" spans="1:6" x14ac:dyDescent="0.35">
      <c r="A220" s="2">
        <f>MCWaterSavings!B219/MCWaterBefore!B219</f>
        <v>0.47368421052631576</v>
      </c>
      <c r="B220" s="2">
        <f>MCWaterSavings!C219/MCWaterBefore!C219</f>
        <v>0</v>
      </c>
      <c r="C220" s="2">
        <f>MCWaterSavings!D219/MCWaterBefore!D219</f>
        <v>0.59090909090909094</v>
      </c>
      <c r="D220" s="2">
        <f>MCWaterSavings!E219/MCWaterBefore!E219</f>
        <v>0.4</v>
      </c>
      <c r="E220" s="2">
        <f>MCWaterSavings!F219/MCWaterBefore!F219</f>
        <v>0</v>
      </c>
      <c r="F220" s="2">
        <f>MCWaterSavings!G219/MCWaterBefore!G219</f>
        <v>0</v>
      </c>
    </row>
    <row r="221" spans="1:6" x14ac:dyDescent="0.35">
      <c r="A221" s="2">
        <f>MCWaterSavings!B220/MCWaterBefore!B220</f>
        <v>0.5714285714285714</v>
      </c>
      <c r="B221" s="2">
        <f>MCWaterSavings!C220/MCWaterBefore!C220</f>
        <v>0</v>
      </c>
      <c r="C221" s="2">
        <f>MCWaterSavings!D220/MCWaterBefore!D220</f>
        <v>0.40000000000000013</v>
      </c>
      <c r="D221" s="2">
        <f>MCWaterSavings!E220/MCWaterBefore!E220</f>
        <v>0</v>
      </c>
      <c r="E221" s="2">
        <f>MCWaterSavings!F220/MCWaterBefore!F220</f>
        <v>0.40000000000000008</v>
      </c>
      <c r="F221" s="2">
        <f>MCWaterSavings!G220/MCWaterBefore!G220</f>
        <v>0.61886612410000008</v>
      </c>
    </row>
    <row r="222" spans="1:6" x14ac:dyDescent="0.35">
      <c r="A222" s="2">
        <f>MCWaterSavings!B221/MCWaterBefore!B221</f>
        <v>0.51692307692307715</v>
      </c>
      <c r="B222" s="2">
        <f>MCWaterSavings!C221/MCWaterBefore!C221</f>
        <v>-1.7644673620582567E-16</v>
      </c>
      <c r="C222" s="2">
        <f>MCWaterSavings!D221/MCWaterBefore!D221</f>
        <v>0.31818181818181829</v>
      </c>
      <c r="D222" s="2">
        <f>MCWaterSavings!E221/MCWaterBefore!E221</f>
        <v>0.4</v>
      </c>
      <c r="E222" s="2">
        <f>MCWaterSavings!F221/MCWaterBefore!F221</f>
        <v>0</v>
      </c>
      <c r="F222" s="2">
        <f>MCWaterSavings!G221/MCWaterBefore!G221</f>
        <v>0.33054472040000005</v>
      </c>
    </row>
    <row r="223" spans="1:6" x14ac:dyDescent="0.35">
      <c r="A223" s="2">
        <f>MCWaterSavings!B222/MCWaterBefore!B222</f>
        <v>0.4</v>
      </c>
      <c r="B223" s="2">
        <f>MCWaterSavings!C222/MCWaterBefore!C222</f>
        <v>0.38461538461538464</v>
      </c>
      <c r="C223" s="2">
        <f>MCWaterSavings!D222/MCWaterBefore!D222</f>
        <v>0</v>
      </c>
      <c r="D223" s="2">
        <f>MCWaterSavings!E222/MCWaterBefore!E222</f>
        <v>0</v>
      </c>
      <c r="E223" s="2">
        <f>MCWaterSavings!F222/MCWaterBefore!F222</f>
        <v>-1.2743375392642965E-16</v>
      </c>
      <c r="F223" s="2">
        <f>MCWaterSavings!G222/MCWaterBefore!G222</f>
        <v>0</v>
      </c>
    </row>
    <row r="224" spans="1:6" x14ac:dyDescent="0.35">
      <c r="A224" s="2">
        <f>MCWaterSavings!B223/MCWaterBefore!B223</f>
        <v>0.40000000000000013</v>
      </c>
      <c r="B224" s="2">
        <f>MCWaterSavings!C223/MCWaterBefore!C223</f>
        <v>-1.7644673620582567E-16</v>
      </c>
      <c r="C224" s="2">
        <f>MCWaterSavings!D223/MCWaterBefore!D223</f>
        <v>0.31818181818181829</v>
      </c>
      <c r="D224" s="2">
        <f>MCWaterSavings!E223/MCWaterBefore!E223</f>
        <v>0</v>
      </c>
      <c r="E224" s="2">
        <f>MCWaterSavings!F223/MCWaterBefore!F223</f>
        <v>0.40000000000000008</v>
      </c>
      <c r="F224" s="2">
        <f>MCWaterSavings!G223/MCWaterBefore!G223</f>
        <v>0</v>
      </c>
    </row>
    <row r="225" spans="1:6" x14ac:dyDescent="0.35">
      <c r="A225" s="2">
        <f>MCWaterSavings!B224/MCWaterBefore!B224</f>
        <v>0.2857142857142857</v>
      </c>
      <c r="B225" s="2">
        <f>MCWaterSavings!C224/MCWaterBefore!C224</f>
        <v>0.38461538461538475</v>
      </c>
      <c r="C225" s="2">
        <f>MCWaterSavings!D224/MCWaterBefore!D224</f>
        <v>0.40000000000000008</v>
      </c>
      <c r="D225" s="2">
        <f>MCWaterSavings!E224/MCWaterBefore!E224</f>
        <v>0</v>
      </c>
      <c r="E225" s="2">
        <f>MCWaterSavings!F224/MCWaterBefore!F224</f>
        <v>0.40000000000000008</v>
      </c>
      <c r="F225" s="2">
        <f>MCWaterSavings!G224/MCWaterBefore!G224</f>
        <v>0.17194493014999998</v>
      </c>
    </row>
    <row r="226" spans="1:6" x14ac:dyDescent="0.35">
      <c r="A226" s="2">
        <f>MCWaterSavings!B225/MCWaterBefore!B225</f>
        <v>0.41142857142857131</v>
      </c>
      <c r="B226" s="2">
        <f>MCWaterSavings!C225/MCWaterBefore!C225</f>
        <v>-2.503081606640783E-16</v>
      </c>
      <c r="C226" s="2">
        <f>MCWaterSavings!D225/MCWaterBefore!D225</f>
        <v>0.3181818181818184</v>
      </c>
      <c r="D226" s="2">
        <f>MCWaterSavings!E225/MCWaterBefore!E225</f>
        <v>0</v>
      </c>
      <c r="E226" s="2">
        <f>MCWaterSavings!F225/MCWaterBefore!F225</f>
        <v>0</v>
      </c>
      <c r="F226" s="2">
        <f>MCWaterSavings!G225/MCWaterBefore!G225</f>
        <v>0</v>
      </c>
    </row>
    <row r="227" spans="1:6" x14ac:dyDescent="0.35">
      <c r="A227" s="2">
        <f>MCWaterSavings!B226/MCWaterBefore!B226</f>
        <v>0</v>
      </c>
      <c r="B227" s="2">
        <f>MCWaterSavings!C226/MCWaterBefore!C226</f>
        <v>0.38461538461538464</v>
      </c>
      <c r="C227" s="2">
        <f>MCWaterSavings!D226/MCWaterBefore!D226</f>
        <v>0.40000000000000008</v>
      </c>
      <c r="D227" s="2">
        <f>MCWaterSavings!E226/MCWaterBefore!E226</f>
        <v>0</v>
      </c>
      <c r="E227" s="2">
        <f>MCWaterSavings!F226/MCWaterBefore!F226</f>
        <v>0.40000000000000008</v>
      </c>
      <c r="F227" s="2">
        <f>MCWaterSavings!G226/MCWaterBefore!G226</f>
        <v>0</v>
      </c>
    </row>
    <row r="228" spans="1:6" x14ac:dyDescent="0.35">
      <c r="A228" s="2">
        <f>MCWaterSavings!B227/MCWaterBefore!B227</f>
        <v>0.41904761904761906</v>
      </c>
      <c r="B228" s="2">
        <f>MCWaterSavings!C227/MCWaterBefore!C227</f>
        <v>0.38461538461538453</v>
      </c>
      <c r="C228" s="2">
        <f>MCWaterSavings!D227/MCWaterBefore!D227</f>
        <v>0.31818181818181829</v>
      </c>
      <c r="D228" s="2">
        <f>MCWaterSavings!E227/MCWaterBefore!E227</f>
        <v>0</v>
      </c>
      <c r="E228" s="2">
        <f>MCWaterSavings!F227/MCWaterBefore!F227</f>
        <v>0</v>
      </c>
      <c r="F228" s="2">
        <f>MCWaterSavings!G227/MCWaterBefore!G227</f>
        <v>0</v>
      </c>
    </row>
    <row r="229" spans="1:6" x14ac:dyDescent="0.35">
      <c r="A229" s="2">
        <f>MCWaterSavings!B228/MCWaterBefore!B228</f>
        <v>0.40000000000000008</v>
      </c>
      <c r="B229" s="2">
        <f>MCWaterSavings!C228/MCWaterBefore!C228</f>
        <v>0.38461538461538469</v>
      </c>
      <c r="C229" s="2">
        <f>MCWaterSavings!D228/MCWaterBefore!D228</f>
        <v>0.4</v>
      </c>
      <c r="D229" s="2">
        <f>MCWaterSavings!E228/MCWaterBefore!E228</f>
        <v>0.4</v>
      </c>
      <c r="E229" s="2">
        <f>MCWaterSavings!F228/MCWaterBefore!F228</f>
        <v>0.40000000000000008</v>
      </c>
      <c r="F229" s="2">
        <f>MCWaterSavings!G228/MCWaterBefore!G228</f>
        <v>0.43030440185000002</v>
      </c>
    </row>
    <row r="230" spans="1:6" x14ac:dyDescent="0.35">
      <c r="A230" s="2">
        <f>MCWaterSavings!B229/MCWaterBefore!B229</f>
        <v>0.68831168831168832</v>
      </c>
      <c r="B230" s="2">
        <f>MCWaterSavings!C229/MCWaterBefore!C229</f>
        <v>0.38461538461538464</v>
      </c>
      <c r="C230" s="2">
        <f>MCWaterSavings!D229/MCWaterBefore!D229</f>
        <v>0.31818181818181834</v>
      </c>
      <c r="D230" s="2">
        <f>MCWaterSavings!E229/MCWaterBefore!E229</f>
        <v>0.40000000000000008</v>
      </c>
      <c r="E230" s="2">
        <f>MCWaterSavings!F229/MCWaterBefore!F229</f>
        <v>0</v>
      </c>
      <c r="F230" s="2">
        <f>MCWaterSavings!G229/MCWaterBefore!G229</f>
        <v>0</v>
      </c>
    </row>
    <row r="231" spans="1:6" x14ac:dyDescent="0.35">
      <c r="A231" s="2">
        <f>MCWaterSavings!B230/MCWaterBefore!B230</f>
        <v>0</v>
      </c>
      <c r="B231" s="2">
        <f>MCWaterSavings!C230/MCWaterBefore!C230</f>
        <v>-1.4162172248099164E-16</v>
      </c>
      <c r="C231" s="2">
        <f>MCWaterSavings!D230/MCWaterBefore!D230</f>
        <v>0</v>
      </c>
      <c r="D231" s="2">
        <f>MCWaterSavings!E230/MCWaterBefore!E230</f>
        <v>0</v>
      </c>
      <c r="E231" s="2">
        <f>MCWaterSavings!F230/MCWaterBefore!F230</f>
        <v>0.40000000000000008</v>
      </c>
      <c r="F231" s="2">
        <f>MCWaterSavings!G230/MCWaterBefore!G230</f>
        <v>0</v>
      </c>
    </row>
    <row r="232" spans="1:6" x14ac:dyDescent="0.35">
      <c r="A232" s="2">
        <f>MCWaterSavings!B231/MCWaterBefore!B231</f>
        <v>0.4</v>
      </c>
      <c r="B232" s="2">
        <f>MCWaterSavings!C231/MCWaterBefore!C231</f>
        <v>0</v>
      </c>
      <c r="C232" s="2">
        <f>MCWaterSavings!D231/MCWaterBefore!D231</f>
        <v>0.31818181818181829</v>
      </c>
      <c r="D232" s="2">
        <f>MCWaterSavings!E231/MCWaterBefore!E231</f>
        <v>0</v>
      </c>
      <c r="E232" s="2">
        <f>MCWaterSavings!F231/MCWaterBefore!F231</f>
        <v>0.4</v>
      </c>
      <c r="F232" s="2">
        <f>MCWaterSavings!G231/MCWaterBefore!G231</f>
        <v>0.50176822340000005</v>
      </c>
    </row>
    <row r="233" spans="1:6" x14ac:dyDescent="0.35">
      <c r="A233" s="2">
        <f>MCWaterSavings!B232/MCWaterBefore!B232</f>
        <v>0.21333333333333332</v>
      </c>
      <c r="B233" s="2">
        <f>MCWaterSavings!C232/MCWaterBefore!C232</f>
        <v>0</v>
      </c>
      <c r="C233" s="2">
        <f>MCWaterSavings!D232/MCWaterBefore!D232</f>
        <v>0.59090909090909105</v>
      </c>
      <c r="D233" s="2">
        <f>MCWaterSavings!E232/MCWaterBefore!E232</f>
        <v>0.40000000000000013</v>
      </c>
      <c r="E233" s="2">
        <f>MCWaterSavings!F232/MCWaterBefore!F232</f>
        <v>-1.2743375392642965E-16</v>
      </c>
      <c r="F233" s="2">
        <f>MCWaterSavings!G232/MCWaterBefore!G232</f>
        <v>0</v>
      </c>
    </row>
    <row r="234" spans="1:6" x14ac:dyDescent="0.35">
      <c r="A234" s="2">
        <f>MCWaterSavings!B233/MCWaterBefore!B233</f>
        <v>0.69523809523809521</v>
      </c>
      <c r="B234" s="2">
        <f>MCWaterSavings!C233/MCWaterBefore!C233</f>
        <v>0.38461538461538464</v>
      </c>
      <c r="C234" s="2">
        <f>MCWaterSavings!D233/MCWaterBefore!D233</f>
        <v>0</v>
      </c>
      <c r="D234" s="2">
        <f>MCWaterSavings!E233/MCWaterBefore!E233</f>
        <v>0.40000000000000008</v>
      </c>
      <c r="E234" s="2">
        <f>MCWaterSavings!F233/MCWaterBefore!F233</f>
        <v>0</v>
      </c>
      <c r="F234" s="2">
        <f>MCWaterSavings!G233/MCWaterBefore!G233</f>
        <v>0</v>
      </c>
    </row>
    <row r="235" spans="1:6" x14ac:dyDescent="0.35">
      <c r="A235" s="2">
        <f>MCWaterSavings!B234/MCWaterBefore!B234</f>
        <v>0.57142857142857151</v>
      </c>
      <c r="B235" s="2">
        <f>MCWaterSavings!C234/MCWaterBefore!C234</f>
        <v>0</v>
      </c>
      <c r="C235" s="2">
        <f>MCWaterSavings!D234/MCWaterBefore!D234</f>
        <v>0.31818181818181834</v>
      </c>
      <c r="D235" s="2">
        <f>MCWaterSavings!E234/MCWaterBefore!E234</f>
        <v>0.4</v>
      </c>
      <c r="E235" s="2">
        <f>MCWaterSavings!F234/MCWaterBefore!F234</f>
        <v>0</v>
      </c>
      <c r="F235" s="2">
        <f>MCWaterSavings!G234/MCWaterBefore!G234</f>
        <v>0</v>
      </c>
    </row>
    <row r="236" spans="1:6" x14ac:dyDescent="0.35">
      <c r="A236" s="2">
        <f>MCWaterSavings!B235/MCWaterBefore!B235</f>
        <v>0.51428571428571435</v>
      </c>
      <c r="B236" s="2">
        <f>MCWaterSavings!C235/MCWaterBefore!C235</f>
        <v>0</v>
      </c>
      <c r="C236" s="2">
        <f>MCWaterSavings!D235/MCWaterBefore!D235</f>
        <v>0.40000000000000008</v>
      </c>
      <c r="D236" s="2">
        <f>MCWaterSavings!E235/MCWaterBefore!E235</f>
        <v>0.4</v>
      </c>
      <c r="E236" s="2">
        <f>MCWaterSavings!F235/MCWaterBefore!F235</f>
        <v>-1.2743375392642965E-16</v>
      </c>
      <c r="F236" s="2">
        <f>MCWaterSavings!G235/MCWaterBefore!G235</f>
        <v>0</v>
      </c>
    </row>
    <row r="237" spans="1:6" x14ac:dyDescent="0.35">
      <c r="A237" s="2">
        <f>MCWaterSavings!B236/MCWaterBefore!B236</f>
        <v>0.4</v>
      </c>
      <c r="B237" s="2">
        <f>MCWaterSavings!C236/MCWaterBefore!C236</f>
        <v>0.38461538461538453</v>
      </c>
      <c r="C237" s="2">
        <f>MCWaterSavings!D236/MCWaterBefore!D236</f>
        <v>0</v>
      </c>
      <c r="D237" s="2">
        <f>MCWaterSavings!E236/MCWaterBefore!E236</f>
        <v>0.4</v>
      </c>
      <c r="E237" s="2">
        <f>MCWaterSavings!F236/MCWaterBefore!F236</f>
        <v>0</v>
      </c>
      <c r="F237" s="2">
        <f>MCWaterSavings!G236/MCWaterBefore!G236</f>
        <v>0</v>
      </c>
    </row>
    <row r="238" spans="1:6" x14ac:dyDescent="0.35">
      <c r="A238" s="2">
        <f>MCWaterSavings!B237/MCWaterBefore!B237</f>
        <v>0.71714285714285708</v>
      </c>
      <c r="B238" s="2">
        <f>MCWaterSavings!C237/MCWaterBefore!C237</f>
        <v>0.38461538461538469</v>
      </c>
      <c r="C238" s="2">
        <f>MCWaterSavings!D237/MCWaterBefore!D237</f>
        <v>0.39999999999999997</v>
      </c>
      <c r="D238" s="2">
        <f>MCWaterSavings!E237/MCWaterBefore!E237</f>
        <v>0.4</v>
      </c>
      <c r="E238" s="2">
        <f>MCWaterSavings!F237/MCWaterBefore!F237</f>
        <v>0</v>
      </c>
      <c r="F238" s="2">
        <f>MCWaterSavings!G237/MCWaterBefore!G237</f>
        <v>0</v>
      </c>
    </row>
    <row r="239" spans="1:6" x14ac:dyDescent="0.35">
      <c r="A239" s="2">
        <f>MCWaterSavings!B238/MCWaterBefore!B238</f>
        <v>0.5714285714285714</v>
      </c>
      <c r="B239" s="2">
        <f>MCWaterSavings!C238/MCWaterBefore!C238</f>
        <v>0</v>
      </c>
      <c r="C239" s="2">
        <f>MCWaterSavings!D238/MCWaterBefore!D238</f>
        <v>0.31818181818181829</v>
      </c>
      <c r="D239" s="2">
        <f>MCWaterSavings!E238/MCWaterBefore!E238</f>
        <v>0</v>
      </c>
      <c r="E239" s="2">
        <f>MCWaterSavings!F238/MCWaterBefore!F238</f>
        <v>0</v>
      </c>
      <c r="F239" s="2">
        <f>MCWaterSavings!G238/MCWaterBefore!G238</f>
        <v>0</v>
      </c>
    </row>
    <row r="240" spans="1:6" x14ac:dyDescent="0.35">
      <c r="A240" s="2">
        <f>MCWaterSavings!B239/MCWaterBefore!B239</f>
        <v>0.57142857142857151</v>
      </c>
      <c r="B240" s="2">
        <f>MCWaterSavings!C239/MCWaterBefore!C239</f>
        <v>0</v>
      </c>
      <c r="C240" s="2">
        <f>MCWaterSavings!D239/MCWaterBefore!D239</f>
        <v>0.40000000000000008</v>
      </c>
      <c r="D240" s="2">
        <f>MCWaterSavings!E239/MCWaterBefore!E239</f>
        <v>0.4</v>
      </c>
      <c r="E240" s="2">
        <f>MCWaterSavings!F239/MCWaterBefore!F239</f>
        <v>0.4</v>
      </c>
      <c r="F240" s="2">
        <f>MCWaterSavings!G239/MCWaterBefore!G239</f>
        <v>0</v>
      </c>
    </row>
    <row r="241" spans="1:6" x14ac:dyDescent="0.35">
      <c r="A241" s="2">
        <f>MCWaterSavings!B240/MCWaterBefore!B240</f>
        <v>0.15238095238095242</v>
      </c>
      <c r="B241" s="2">
        <f>MCWaterSavings!C240/MCWaterBefore!C240</f>
        <v>0</v>
      </c>
      <c r="C241" s="2">
        <f>MCWaterSavings!D240/MCWaterBefore!D240</f>
        <v>0.3181818181818184</v>
      </c>
      <c r="D241" s="2">
        <f>MCWaterSavings!E240/MCWaterBefore!E240</f>
        <v>0</v>
      </c>
      <c r="E241" s="2">
        <f>MCWaterSavings!F240/MCWaterBefore!F240</f>
        <v>0.40000000000000008</v>
      </c>
      <c r="F241" s="2">
        <f>MCWaterSavings!G240/MCWaterBefore!G240</f>
        <v>0</v>
      </c>
    </row>
    <row r="242" spans="1:6" x14ac:dyDescent="0.35">
      <c r="A242" s="2">
        <f>MCWaterSavings!B241/MCWaterBefore!B241</f>
        <v>0.4</v>
      </c>
      <c r="B242" s="2">
        <f>MCWaterSavings!C241/MCWaterBefore!C241</f>
        <v>0.38461538461538464</v>
      </c>
      <c r="C242" s="2">
        <f>MCWaterSavings!D241/MCWaterBefore!D241</f>
        <v>0.4</v>
      </c>
      <c r="D242" s="2">
        <f>MCWaterSavings!E241/MCWaterBefore!E241</f>
        <v>0.4</v>
      </c>
      <c r="E242" s="2">
        <f>MCWaterSavings!F241/MCWaterBefore!F241</f>
        <v>0.4</v>
      </c>
      <c r="F242" s="2">
        <f>MCWaterSavings!G241/MCWaterBefore!G241</f>
        <v>0.64030390585000008</v>
      </c>
    </row>
    <row r="243" spans="1:6" x14ac:dyDescent="0.35">
      <c r="A243" s="2">
        <f>MCWaterSavings!B242/MCWaterBefore!B242</f>
        <v>0.63105590062111805</v>
      </c>
      <c r="B243" s="2">
        <f>MCWaterSavings!C242/MCWaterBefore!C242</f>
        <v>0.38461538461538464</v>
      </c>
      <c r="C243" s="2">
        <f>MCWaterSavings!D242/MCWaterBefore!D242</f>
        <v>1.4790936766513712E-16</v>
      </c>
      <c r="D243" s="2">
        <f>MCWaterSavings!E242/MCWaterBefore!E242</f>
        <v>0.4</v>
      </c>
      <c r="E243" s="2">
        <f>MCWaterSavings!F242/MCWaterBefore!F242</f>
        <v>0</v>
      </c>
      <c r="F243" s="2">
        <f>MCWaterSavings!G242/MCWaterBefore!G242</f>
        <v>0</v>
      </c>
    </row>
    <row r="244" spans="1:6" x14ac:dyDescent="0.35">
      <c r="A244" s="2">
        <f>MCWaterSavings!B243/MCWaterBefore!B243</f>
        <v>1.7767906261742185E-16</v>
      </c>
      <c r="B244" s="2">
        <f>MCWaterSavings!C243/MCWaterBefore!C243</f>
        <v>0.38461538461538464</v>
      </c>
      <c r="C244" s="2">
        <f>MCWaterSavings!D243/MCWaterBefore!D243</f>
        <v>0.3181818181818184</v>
      </c>
      <c r="D244" s="2">
        <f>MCWaterSavings!E243/MCWaterBefore!E243</f>
        <v>0</v>
      </c>
      <c r="E244" s="2">
        <f>MCWaterSavings!F243/MCWaterBefore!F243</f>
        <v>0.4</v>
      </c>
      <c r="F244" s="2">
        <f>MCWaterSavings!G243/MCWaterBefore!G243</f>
        <v>0</v>
      </c>
    </row>
    <row r="245" spans="1:6" x14ac:dyDescent="0.35">
      <c r="A245" s="2">
        <f>MCWaterSavings!B244/MCWaterBefore!B244</f>
        <v>0.2857142857142857</v>
      </c>
      <c r="B245" s="2">
        <f>MCWaterSavings!C244/MCWaterBefore!C244</f>
        <v>0</v>
      </c>
      <c r="C245" s="2">
        <f>MCWaterSavings!D244/MCWaterBefore!D244</f>
        <v>0.40000000000000013</v>
      </c>
      <c r="D245" s="2">
        <f>MCWaterSavings!E244/MCWaterBefore!E244</f>
        <v>0</v>
      </c>
      <c r="E245" s="2">
        <f>MCWaterSavings!F244/MCWaterBefore!F244</f>
        <v>0.40000000000000008</v>
      </c>
      <c r="F245" s="2">
        <f>MCWaterSavings!G244/MCWaterBefore!G244</f>
        <v>0.67228843700000007</v>
      </c>
    </row>
    <row r="246" spans="1:6" x14ac:dyDescent="0.35">
      <c r="A246" s="2">
        <f>MCWaterSavings!B245/MCWaterBefore!B245</f>
        <v>0.74285714285714288</v>
      </c>
      <c r="B246" s="2">
        <f>MCWaterSavings!C245/MCWaterBefore!C245</f>
        <v>0</v>
      </c>
      <c r="C246" s="2">
        <f>MCWaterSavings!D245/MCWaterBefore!D245</f>
        <v>0.40000000000000008</v>
      </c>
      <c r="D246" s="2">
        <f>MCWaterSavings!E245/MCWaterBefore!E245</f>
        <v>0</v>
      </c>
      <c r="E246" s="2">
        <f>MCWaterSavings!F245/MCWaterBefore!F245</f>
        <v>0</v>
      </c>
      <c r="F246" s="2">
        <f>MCWaterSavings!G245/MCWaterBefore!G245</f>
        <v>0.52145442345000004</v>
      </c>
    </row>
    <row r="247" spans="1:6" x14ac:dyDescent="0.35">
      <c r="A247" s="2">
        <f>MCWaterSavings!B246/MCWaterBefore!B246</f>
        <v>0.6133333333333334</v>
      </c>
      <c r="B247" s="2">
        <f>MCWaterSavings!C246/MCWaterBefore!C246</f>
        <v>0.38461538461538464</v>
      </c>
      <c r="C247" s="2">
        <f>MCWaterSavings!D246/MCWaterBefore!D246</f>
        <v>0.31818181818181829</v>
      </c>
      <c r="D247" s="2">
        <f>MCWaterSavings!E246/MCWaterBefore!E246</f>
        <v>0.4</v>
      </c>
      <c r="E247" s="2">
        <f>MCWaterSavings!F246/MCWaterBefore!F246</f>
        <v>0.40000000000000008</v>
      </c>
      <c r="F247" s="2">
        <f>MCWaterSavings!G246/MCWaterBefore!G246</f>
        <v>0.36003624014999996</v>
      </c>
    </row>
    <row r="248" spans="1:6" x14ac:dyDescent="0.35">
      <c r="A248" s="2">
        <f>MCWaterSavings!B247/MCWaterBefore!B247</f>
        <v>0.2857142857142857</v>
      </c>
      <c r="B248" s="2">
        <f>MCWaterSavings!C247/MCWaterBefore!C247</f>
        <v>0</v>
      </c>
      <c r="C248" s="2">
        <f>MCWaterSavings!D247/MCWaterBefore!D247</f>
        <v>0.4</v>
      </c>
      <c r="D248" s="2">
        <f>MCWaterSavings!E247/MCWaterBefore!E247</f>
        <v>0</v>
      </c>
      <c r="E248" s="2">
        <f>MCWaterSavings!F247/MCWaterBefore!F247</f>
        <v>0.4</v>
      </c>
      <c r="F248" s="2">
        <f>MCWaterSavings!G247/MCWaterBefore!G247</f>
        <v>0.28469042234999992</v>
      </c>
    </row>
    <row r="249" spans="1:6" x14ac:dyDescent="0.35">
      <c r="A249" s="2">
        <f>MCWaterSavings!B248/MCWaterBefore!B248</f>
        <v>0.4</v>
      </c>
      <c r="B249" s="2">
        <f>MCWaterSavings!C248/MCWaterBefore!C248</f>
        <v>0.38461538461538464</v>
      </c>
      <c r="C249" s="2">
        <f>MCWaterSavings!D248/MCWaterBefore!D248</f>
        <v>0.59090909090909105</v>
      </c>
      <c r="D249" s="2">
        <f>MCWaterSavings!E248/MCWaterBefore!E248</f>
        <v>0.40000000000000008</v>
      </c>
      <c r="E249" s="2">
        <f>MCWaterSavings!F248/MCWaterBefore!F248</f>
        <v>-1.2743375392642965E-16</v>
      </c>
      <c r="F249" s="2">
        <f>MCWaterSavings!G248/MCWaterBefore!G248</f>
        <v>0</v>
      </c>
    </row>
    <row r="250" spans="1:6" x14ac:dyDescent="0.35">
      <c r="A250" s="2">
        <f>MCWaterSavings!B249/MCWaterBefore!B249</f>
        <v>0.4</v>
      </c>
      <c r="B250" s="2">
        <f>MCWaterSavings!C249/MCWaterBefore!C249</f>
        <v>0.38461538461538464</v>
      </c>
      <c r="C250" s="2">
        <f>MCWaterSavings!D249/MCWaterBefore!D249</f>
        <v>0.39999999999999997</v>
      </c>
      <c r="D250" s="2">
        <f>MCWaterSavings!E249/MCWaterBefore!E249</f>
        <v>0.4</v>
      </c>
      <c r="E250" s="2">
        <f>MCWaterSavings!F249/MCWaterBefore!F249</f>
        <v>0</v>
      </c>
      <c r="F250" s="2">
        <f>MCWaterSavings!G249/MCWaterBefore!G249</f>
        <v>0</v>
      </c>
    </row>
    <row r="251" spans="1:6" x14ac:dyDescent="0.35">
      <c r="A251" s="2">
        <f>MCWaterSavings!B250/MCWaterBefore!B250</f>
        <v>0.74285714285714288</v>
      </c>
      <c r="B251" s="2">
        <f>MCWaterSavings!C250/MCWaterBefore!C250</f>
        <v>0.38461538461538475</v>
      </c>
      <c r="C251" s="2">
        <f>MCWaterSavings!D250/MCWaterBefore!D250</f>
        <v>0.59090909090909105</v>
      </c>
      <c r="D251" s="2">
        <f>MCWaterSavings!E250/MCWaterBefore!E250</f>
        <v>0.4</v>
      </c>
      <c r="E251" s="2">
        <f>MCWaterSavings!F250/MCWaterBefore!F250</f>
        <v>0.4</v>
      </c>
      <c r="F251" s="2">
        <f>MCWaterSavings!G250/MCWaterBefore!G250</f>
        <v>0</v>
      </c>
    </row>
    <row r="252" spans="1:6" x14ac:dyDescent="0.35">
      <c r="A252" s="2">
        <f>MCWaterSavings!B251/MCWaterBefore!B251</f>
        <v>0.43223443223443225</v>
      </c>
      <c r="B252" s="2">
        <f>MCWaterSavings!C251/MCWaterBefore!C251</f>
        <v>0</v>
      </c>
      <c r="C252" s="2">
        <f>MCWaterSavings!D251/MCWaterBefore!D251</f>
        <v>0.59090909090909094</v>
      </c>
      <c r="D252" s="2">
        <f>MCWaterSavings!E251/MCWaterBefore!E251</f>
        <v>0</v>
      </c>
      <c r="E252" s="2">
        <f>MCWaterSavings!F251/MCWaterBefore!F251</f>
        <v>0.40000000000000008</v>
      </c>
      <c r="F252" s="2">
        <f>MCWaterSavings!G251/MCWaterBefore!G251</f>
        <v>0.30084662559999997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BCA7C-DBD9-46D8-AF1F-99E8AF0F13AD}">
  <dimension ref="A1:D24"/>
  <sheetViews>
    <sheetView tabSelected="1" workbookViewId="0">
      <selection activeCell="I19" sqref="I19"/>
    </sheetView>
  </sheetViews>
  <sheetFormatPr defaultRowHeight="14.5" x14ac:dyDescent="0.35"/>
  <cols>
    <col min="1" max="1" width="13.7265625" bestFit="1" customWidth="1"/>
  </cols>
  <sheetData>
    <row r="1" spans="1:2" x14ac:dyDescent="0.35">
      <c r="A1" t="s">
        <v>278</v>
      </c>
      <c r="B1" t="s">
        <v>277</v>
      </c>
    </row>
    <row r="2" spans="1:2" x14ac:dyDescent="0.35">
      <c r="A2" s="1" t="s">
        <v>260</v>
      </c>
      <c r="B2">
        <f>COUNTIF(MCActionLong!B2:B240, 1)</f>
        <v>111</v>
      </c>
    </row>
    <row r="3" spans="1:2" x14ac:dyDescent="0.35">
      <c r="A3" s="1" t="s">
        <v>261</v>
      </c>
      <c r="B3">
        <f>COUNTIF(MCActionLong!C2:C240, 1)</f>
        <v>133</v>
      </c>
    </row>
    <row r="4" spans="1:2" x14ac:dyDescent="0.35">
      <c r="A4" s="1" t="s">
        <v>262</v>
      </c>
      <c r="B4">
        <f>COUNTIF(MCActionLong!D2:D240, 1)</f>
        <v>126</v>
      </c>
    </row>
    <row r="5" spans="1:2" x14ac:dyDescent="0.35">
      <c r="A5" s="1" t="s">
        <v>263</v>
      </c>
      <c r="B5">
        <f>COUNTIF(MCActionLong!E2:E240, 1)</f>
        <v>8</v>
      </c>
    </row>
    <row r="6" spans="1:2" x14ac:dyDescent="0.35">
      <c r="A6" s="1" t="s">
        <v>264</v>
      </c>
      <c r="B6">
        <f>COUNTIF(MCActionLong!F2:F240, 1)</f>
        <v>0</v>
      </c>
    </row>
    <row r="7" spans="1:2" x14ac:dyDescent="0.35">
      <c r="A7" s="1" t="s">
        <v>265</v>
      </c>
      <c r="B7">
        <f>COUNTIF(MCActionShort!B2:B245, "&gt;0")</f>
        <v>119</v>
      </c>
    </row>
    <row r="8" spans="1:2" x14ac:dyDescent="0.35">
      <c r="A8" s="1" t="s">
        <v>266</v>
      </c>
      <c r="B8">
        <f>COUNTIF(MCActionShort!C2:C245, "&gt;0")</f>
        <v>113</v>
      </c>
    </row>
    <row r="9" spans="1:2" x14ac:dyDescent="0.35">
      <c r="A9" s="1" t="s">
        <v>267</v>
      </c>
      <c r="B9">
        <f>COUNTIF(MCActionShort!D2:D245, "&gt;0")</f>
        <v>127</v>
      </c>
    </row>
    <row r="10" spans="1:2" x14ac:dyDescent="0.35">
      <c r="A10" s="1" t="s">
        <v>268</v>
      </c>
      <c r="B10">
        <f>COUNTIF(MCActionShort!E2:E245, "&gt;0")</f>
        <v>130</v>
      </c>
    </row>
    <row r="11" spans="1:2" x14ac:dyDescent="0.35">
      <c r="A11" s="1" t="s">
        <v>269</v>
      </c>
      <c r="B11">
        <f>COUNTIF(MCActionShort!F2:F245, "&gt;0")</f>
        <v>121</v>
      </c>
    </row>
    <row r="12" spans="1:2" x14ac:dyDescent="0.35">
      <c r="A12" t="s">
        <v>279</v>
      </c>
      <c r="B12">
        <f>COUNTIF(MCOutdoorWilling!Q2:IP2, 1)</f>
        <v>114</v>
      </c>
    </row>
    <row r="18" spans="1:4" x14ac:dyDescent="0.35">
      <c r="A18" t="s">
        <v>276</v>
      </c>
      <c r="B18" t="s">
        <v>275</v>
      </c>
      <c r="C18" t="s">
        <v>274</v>
      </c>
      <c r="D18" t="s">
        <v>273</v>
      </c>
    </row>
    <row r="19" spans="1:4" x14ac:dyDescent="0.35">
      <c r="A19" t="s">
        <v>254</v>
      </c>
      <c r="B19" s="3">
        <f>AVERAGE(MCWaterBefore!B2:B251)</f>
        <v>546187.82400000002</v>
      </c>
      <c r="C19" s="3">
        <f>AVERAGE(MCWaterAfter!B2:B251)</f>
        <v>329748.43200000015</v>
      </c>
      <c r="D19" s="3">
        <f>AVERAGE(MCWaterSavings!B2:B251)</f>
        <v>248210.31192660544</v>
      </c>
    </row>
    <row r="20" spans="1:4" x14ac:dyDescent="0.35">
      <c r="A20" t="s">
        <v>255</v>
      </c>
      <c r="B20" s="3">
        <f>AVERAGE(MCWaterBefore!C2:C251)</f>
        <v>88826.4</v>
      </c>
      <c r="C20" s="3">
        <f>AVERAGE(MCWaterAfter!C2:C251)</f>
        <v>70526.559999999998</v>
      </c>
      <c r="D20" s="3">
        <f>AVERAGE(MCWaterSavings!C2:C251)</f>
        <v>25276.022099447513</v>
      </c>
    </row>
    <row r="21" spans="1:4" x14ac:dyDescent="0.35">
      <c r="A21" t="s">
        <v>256</v>
      </c>
      <c r="B21" s="3">
        <f>AVERAGE(MCWaterBefore!D2:D251)</f>
        <v>91117.312000000005</v>
      </c>
      <c r="C21" s="3">
        <f>AVERAGE(MCWaterAfter!D2:D251)</f>
        <v>61003.279999999992</v>
      </c>
      <c r="D21" s="3">
        <f>AVERAGE(MCWaterSavings!D2:D251)</f>
        <v>35345.107981220652</v>
      </c>
    </row>
    <row r="22" spans="1:4" x14ac:dyDescent="0.35">
      <c r="A22" t="s">
        <v>257</v>
      </c>
      <c r="B22" s="3">
        <f>AVERAGE(MCWaterBefore!E2:E251)</f>
        <v>76989.119999999995</v>
      </c>
      <c r="C22" s="3">
        <f>AVERAGE(MCWaterAfter!E2:E251)</f>
        <v>58512.896000000001</v>
      </c>
      <c r="D22" s="3">
        <f>AVERAGE(MCWaterSavings!E2:E251)</f>
        <v>33471.420289855072</v>
      </c>
    </row>
    <row r="23" spans="1:4" x14ac:dyDescent="0.35">
      <c r="A23" t="s">
        <v>258</v>
      </c>
      <c r="B23" s="3">
        <f>AVERAGE(MCWaterBefore!F2:F251)</f>
        <v>17078.047999999999</v>
      </c>
      <c r="C23" s="3">
        <f>AVERAGE(MCWaterAfter!F2:F251)</f>
        <v>13799.468800000002</v>
      </c>
      <c r="D23" s="3">
        <f>AVERAGE(MCWaterSavings!F2:F251)</f>
        <v>5464.2986666666684</v>
      </c>
    </row>
    <row r="24" spans="1:4" x14ac:dyDescent="0.35">
      <c r="A24" t="s">
        <v>259</v>
      </c>
      <c r="B24" s="3">
        <f>AVERAGE(MCWaterBefore!G2:G251)</f>
        <v>623943.68190336006</v>
      </c>
      <c r="C24" s="3">
        <f>AVERAGE(MCWaterAfter!G2:G251)</f>
        <v>491959.11004468036</v>
      </c>
      <c r="D24" s="3">
        <f>AVERAGE(MCWaterSavings!G2:G251)</f>
        <v>261874.15051325326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8439-D237-472F-AE88-EF9BB29A0488}">
  <dimension ref="A1:IZ251"/>
  <sheetViews>
    <sheetView workbookViewId="0"/>
  </sheetViews>
  <sheetFormatPr defaultRowHeight="14.5" x14ac:dyDescent="0.35"/>
  <sheetData>
    <row r="1" spans="1:260" x14ac:dyDescent="0.35">
      <c r="B1" s="1" t="s">
        <v>250</v>
      </c>
      <c r="C1" s="1" t="s">
        <v>251</v>
      </c>
      <c r="D1" s="1" t="s">
        <v>252</v>
      </c>
      <c r="E1" s="1" t="s">
        <v>253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46</v>
      </c>
      <c r="BF1" s="1" t="s">
        <v>47</v>
      </c>
      <c r="BG1" s="1" t="s">
        <v>48</v>
      </c>
      <c r="BH1" s="1" t="s">
        <v>49</v>
      </c>
      <c r="BI1" s="1" t="s">
        <v>50</v>
      </c>
      <c r="BJ1" s="1" t="s">
        <v>51</v>
      </c>
      <c r="BK1" s="1" t="s">
        <v>52</v>
      </c>
      <c r="BL1" s="1" t="s">
        <v>53</v>
      </c>
      <c r="BM1" s="1" t="s">
        <v>54</v>
      </c>
      <c r="BN1" s="1" t="s">
        <v>55</v>
      </c>
      <c r="BO1" s="1" t="s">
        <v>56</v>
      </c>
      <c r="BP1" s="1" t="s">
        <v>57</v>
      </c>
      <c r="BQ1" s="1" t="s">
        <v>58</v>
      </c>
      <c r="BR1" s="1" t="s">
        <v>59</v>
      </c>
      <c r="BS1" s="1" t="s">
        <v>60</v>
      </c>
      <c r="BT1" s="1" t="s">
        <v>61</v>
      </c>
      <c r="BU1" s="1" t="s">
        <v>62</v>
      </c>
      <c r="BV1" s="1" t="s">
        <v>63</v>
      </c>
      <c r="BW1" s="1" t="s">
        <v>64</v>
      </c>
      <c r="BX1" s="1" t="s">
        <v>65</v>
      </c>
      <c r="BY1" s="1" t="s">
        <v>66</v>
      </c>
      <c r="BZ1" s="1" t="s">
        <v>67</v>
      </c>
      <c r="CA1" s="1" t="s">
        <v>68</v>
      </c>
      <c r="CB1" s="1" t="s">
        <v>69</v>
      </c>
      <c r="CC1" s="1" t="s">
        <v>70</v>
      </c>
      <c r="CD1" s="1" t="s">
        <v>71</v>
      </c>
      <c r="CE1" s="1" t="s">
        <v>72</v>
      </c>
      <c r="CF1" s="1" t="s">
        <v>73</v>
      </c>
      <c r="CG1" s="1" t="s">
        <v>74</v>
      </c>
      <c r="CH1" s="1" t="s">
        <v>75</v>
      </c>
      <c r="CI1" s="1" t="s">
        <v>76</v>
      </c>
      <c r="CJ1" s="1" t="s">
        <v>77</v>
      </c>
      <c r="CK1" s="1" t="s">
        <v>78</v>
      </c>
      <c r="CL1" s="1" t="s">
        <v>79</v>
      </c>
      <c r="CM1" s="1" t="s">
        <v>80</v>
      </c>
      <c r="CN1" s="1" t="s">
        <v>81</v>
      </c>
      <c r="CO1" s="1" t="s">
        <v>82</v>
      </c>
      <c r="CP1" s="1" t="s">
        <v>83</v>
      </c>
      <c r="CQ1" s="1" t="s">
        <v>84</v>
      </c>
      <c r="CR1" s="1" t="s">
        <v>85</v>
      </c>
      <c r="CS1" s="1" t="s">
        <v>86</v>
      </c>
      <c r="CT1" s="1" t="s">
        <v>87</v>
      </c>
      <c r="CU1" s="1" t="s">
        <v>88</v>
      </c>
      <c r="CV1" s="1" t="s">
        <v>89</v>
      </c>
      <c r="CW1" s="1" t="s">
        <v>90</v>
      </c>
      <c r="CX1" s="1" t="s">
        <v>91</v>
      </c>
      <c r="CY1" s="1" t="s">
        <v>92</v>
      </c>
      <c r="CZ1" s="1" t="s">
        <v>93</v>
      </c>
      <c r="DA1" s="1" t="s">
        <v>94</v>
      </c>
      <c r="DB1" s="1" t="s">
        <v>95</v>
      </c>
      <c r="DC1" s="1" t="s">
        <v>96</v>
      </c>
      <c r="DD1" s="1" t="s">
        <v>97</v>
      </c>
      <c r="DE1" s="1" t="s">
        <v>98</v>
      </c>
      <c r="DF1" s="1" t="s">
        <v>99</v>
      </c>
      <c r="DG1" s="1" t="s">
        <v>100</v>
      </c>
      <c r="DH1" s="1" t="s">
        <v>101</v>
      </c>
      <c r="DI1" s="1" t="s">
        <v>102</v>
      </c>
      <c r="DJ1" s="1" t="s">
        <v>103</v>
      </c>
      <c r="DK1" s="1" t="s">
        <v>104</v>
      </c>
      <c r="DL1" s="1" t="s">
        <v>105</v>
      </c>
      <c r="DM1" s="1" t="s">
        <v>106</v>
      </c>
      <c r="DN1" s="1" t="s">
        <v>107</v>
      </c>
      <c r="DO1" s="1" t="s">
        <v>108</v>
      </c>
      <c r="DP1" s="1" t="s">
        <v>109</v>
      </c>
      <c r="DQ1" s="1" t="s">
        <v>110</v>
      </c>
      <c r="DR1" s="1" t="s">
        <v>111</v>
      </c>
      <c r="DS1" s="1" t="s">
        <v>112</v>
      </c>
      <c r="DT1" s="1" t="s">
        <v>113</v>
      </c>
      <c r="DU1" s="1" t="s">
        <v>114</v>
      </c>
      <c r="DV1" s="1" t="s">
        <v>115</v>
      </c>
      <c r="DW1" s="1" t="s">
        <v>116</v>
      </c>
      <c r="DX1" s="1" t="s">
        <v>117</v>
      </c>
      <c r="DY1" s="1" t="s">
        <v>118</v>
      </c>
      <c r="DZ1" s="1" t="s">
        <v>119</v>
      </c>
      <c r="EA1" s="1" t="s">
        <v>120</v>
      </c>
      <c r="EB1" s="1" t="s">
        <v>121</v>
      </c>
      <c r="EC1" s="1" t="s">
        <v>122</v>
      </c>
      <c r="ED1" s="1" t="s">
        <v>123</v>
      </c>
      <c r="EE1" s="1" t="s">
        <v>124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138</v>
      </c>
      <c r="ET1" s="1" t="s">
        <v>139</v>
      </c>
      <c r="EU1" s="1" t="s">
        <v>140</v>
      </c>
      <c r="EV1" s="1" t="s">
        <v>141</v>
      </c>
      <c r="EW1" s="1" t="s">
        <v>142</v>
      </c>
      <c r="EX1" s="1" t="s">
        <v>143</v>
      </c>
      <c r="EY1" s="1" t="s">
        <v>144</v>
      </c>
      <c r="EZ1" s="1" t="s">
        <v>145</v>
      </c>
      <c r="FA1" s="1" t="s">
        <v>146</v>
      </c>
      <c r="FB1" s="1" t="s">
        <v>147</v>
      </c>
      <c r="FC1" s="1" t="s">
        <v>148</v>
      </c>
      <c r="FD1" s="1" t="s">
        <v>149</v>
      </c>
      <c r="FE1" s="1" t="s">
        <v>150</v>
      </c>
      <c r="FF1" s="1" t="s">
        <v>151</v>
      </c>
      <c r="FG1" s="1" t="s">
        <v>152</v>
      </c>
      <c r="FH1" s="1" t="s">
        <v>153</v>
      </c>
      <c r="FI1" s="1" t="s">
        <v>154</v>
      </c>
      <c r="FJ1" s="1" t="s">
        <v>155</v>
      </c>
      <c r="FK1" s="1" t="s">
        <v>156</v>
      </c>
      <c r="FL1" s="1" t="s">
        <v>157</v>
      </c>
      <c r="FM1" s="1" t="s">
        <v>158</v>
      </c>
      <c r="FN1" s="1" t="s">
        <v>159</v>
      </c>
      <c r="FO1" s="1" t="s">
        <v>160</v>
      </c>
      <c r="FP1" s="1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1" t="s">
        <v>169</v>
      </c>
      <c r="FY1" s="1" t="s">
        <v>170</v>
      </c>
      <c r="FZ1" s="1" t="s">
        <v>171</v>
      </c>
      <c r="GA1" s="1" t="s">
        <v>172</v>
      </c>
      <c r="GB1" s="1" t="s">
        <v>173</v>
      </c>
      <c r="GC1" s="1" t="s">
        <v>174</v>
      </c>
      <c r="GD1" s="1" t="s">
        <v>175</v>
      </c>
      <c r="GE1" s="1" t="s">
        <v>176</v>
      </c>
      <c r="GF1" s="1" t="s">
        <v>177</v>
      </c>
      <c r="GG1" s="1" t="s">
        <v>178</v>
      </c>
      <c r="GH1" s="1" t="s">
        <v>179</v>
      </c>
      <c r="GI1" s="1" t="s">
        <v>180</v>
      </c>
      <c r="GJ1" s="1" t="s">
        <v>181</v>
      </c>
      <c r="GK1" s="1" t="s">
        <v>182</v>
      </c>
      <c r="GL1" s="1" t="s">
        <v>183</v>
      </c>
      <c r="GM1" s="1" t="s">
        <v>184</v>
      </c>
      <c r="GN1" s="1" t="s">
        <v>185</v>
      </c>
      <c r="GO1" s="1" t="s">
        <v>186</v>
      </c>
      <c r="GP1" s="1" t="s">
        <v>187</v>
      </c>
      <c r="GQ1" s="1" t="s">
        <v>188</v>
      </c>
      <c r="GR1" s="1" t="s">
        <v>189</v>
      </c>
      <c r="GS1" s="1" t="s">
        <v>190</v>
      </c>
      <c r="GT1" s="1" t="s">
        <v>191</v>
      </c>
      <c r="GU1" s="1" t="s">
        <v>192</v>
      </c>
      <c r="GV1" s="1" t="s">
        <v>193</v>
      </c>
      <c r="GW1" s="1" t="s">
        <v>194</v>
      </c>
      <c r="GX1" s="1" t="s">
        <v>195</v>
      </c>
      <c r="GY1" s="1" t="s">
        <v>196</v>
      </c>
      <c r="GZ1" s="1" t="s">
        <v>197</v>
      </c>
      <c r="HA1" s="1" t="s">
        <v>198</v>
      </c>
      <c r="HB1" s="1" t="s">
        <v>199</v>
      </c>
      <c r="HC1" s="1" t="s">
        <v>200</v>
      </c>
      <c r="HD1" s="1" t="s">
        <v>201</v>
      </c>
      <c r="HE1" s="1" t="s">
        <v>202</v>
      </c>
      <c r="HF1" s="1" t="s">
        <v>203</v>
      </c>
      <c r="HG1" s="1" t="s">
        <v>204</v>
      </c>
      <c r="HH1" s="1" t="s">
        <v>205</v>
      </c>
      <c r="HI1" s="1" t="s">
        <v>206</v>
      </c>
      <c r="HJ1" s="1" t="s">
        <v>207</v>
      </c>
      <c r="HK1" s="1" t="s">
        <v>208</v>
      </c>
      <c r="HL1" s="1" t="s">
        <v>209</v>
      </c>
      <c r="HM1" s="1" t="s">
        <v>210</v>
      </c>
      <c r="HN1" s="1" t="s">
        <v>211</v>
      </c>
      <c r="HO1" s="1" t="s">
        <v>212</v>
      </c>
      <c r="HP1" s="1" t="s">
        <v>213</v>
      </c>
      <c r="HQ1" s="1" t="s">
        <v>214</v>
      </c>
      <c r="HR1" s="1" t="s">
        <v>215</v>
      </c>
      <c r="HS1" s="1" t="s">
        <v>216</v>
      </c>
      <c r="HT1" s="1" t="s">
        <v>217</v>
      </c>
      <c r="HU1" s="1" t="s">
        <v>218</v>
      </c>
      <c r="HV1" s="1" t="s">
        <v>219</v>
      </c>
      <c r="HW1" s="1" t="s">
        <v>220</v>
      </c>
      <c r="HX1" s="1" t="s">
        <v>221</v>
      </c>
      <c r="HY1" s="1" t="s">
        <v>222</v>
      </c>
      <c r="HZ1" s="1" t="s">
        <v>223</v>
      </c>
      <c r="IA1" s="1" t="s">
        <v>224</v>
      </c>
      <c r="IB1" s="1" t="s">
        <v>225</v>
      </c>
      <c r="IC1" s="1" t="s">
        <v>226</v>
      </c>
      <c r="ID1" s="1" t="s">
        <v>227</v>
      </c>
      <c r="IE1" s="1" t="s">
        <v>228</v>
      </c>
      <c r="IF1" s="1" t="s">
        <v>229</v>
      </c>
      <c r="IG1" s="1" t="s">
        <v>230</v>
      </c>
      <c r="IH1" s="1" t="s">
        <v>231</v>
      </c>
      <c r="II1" s="1" t="s">
        <v>232</v>
      </c>
      <c r="IJ1" s="1" t="s">
        <v>233</v>
      </c>
      <c r="IK1" s="1" t="s">
        <v>234</v>
      </c>
      <c r="IL1" s="1" t="s">
        <v>235</v>
      </c>
      <c r="IM1" s="1" t="s">
        <v>236</v>
      </c>
      <c r="IN1" s="1" t="s">
        <v>237</v>
      </c>
      <c r="IO1" s="1" t="s">
        <v>238</v>
      </c>
      <c r="IP1" s="1" t="s">
        <v>239</v>
      </c>
      <c r="IQ1" s="1" t="s">
        <v>240</v>
      </c>
      <c r="IR1" s="1" t="s">
        <v>241</v>
      </c>
      <c r="IS1" s="1" t="s">
        <v>242</v>
      </c>
      <c r="IT1" s="1" t="s">
        <v>243</v>
      </c>
      <c r="IU1" s="1" t="s">
        <v>244</v>
      </c>
      <c r="IV1" s="1" t="s">
        <v>245</v>
      </c>
      <c r="IW1" s="1" t="s">
        <v>246</v>
      </c>
      <c r="IX1" s="1" t="s">
        <v>247</v>
      </c>
      <c r="IY1" s="1" t="s">
        <v>248</v>
      </c>
      <c r="IZ1" s="1" t="s">
        <v>249</v>
      </c>
    </row>
    <row r="2" spans="1:260" x14ac:dyDescent="0.35">
      <c r="A2" s="1" t="s">
        <v>0</v>
      </c>
      <c r="B2">
        <v>52960.954348864005</v>
      </c>
      <c r="C2">
        <v>8090542.9176000003</v>
      </c>
      <c r="D2">
        <v>7974541.3176000006</v>
      </c>
      <c r="E2">
        <v>10</v>
      </c>
      <c r="K2">
        <v>770.25062399999752</v>
      </c>
      <c r="L2">
        <v>7965.8167680000015</v>
      </c>
      <c r="M2">
        <v>1037.6786664643789</v>
      </c>
      <c r="N2">
        <v>4995.5110400000003</v>
      </c>
      <c r="O2">
        <v>2386.5753599999994</v>
      </c>
      <c r="P2">
        <v>2241.0053119999989</v>
      </c>
      <c r="Q2">
        <v>9682.5351168000016</v>
      </c>
      <c r="R2">
        <v>9201.9882240000006</v>
      </c>
      <c r="S2">
        <v>1936.0458850114619</v>
      </c>
      <c r="T2">
        <v>7828.6853632000011</v>
      </c>
      <c r="U2">
        <v>423.86572799999817</v>
      </c>
      <c r="V2">
        <v>9774.7041599999993</v>
      </c>
      <c r="W2">
        <v>3442.8699015594457</v>
      </c>
      <c r="X2">
        <v>30287.961599999988</v>
      </c>
      <c r="Y2">
        <v>18215.950771199994</v>
      </c>
      <c r="Z2">
        <v>26096.475334862178</v>
      </c>
      <c r="AA2">
        <v>42875.430423317783</v>
      </c>
      <c r="AB2">
        <v>2226.5235689631158</v>
      </c>
      <c r="AC2">
        <v>455.36332261253119</v>
      </c>
      <c r="AD2">
        <v>46197.087147267433</v>
      </c>
      <c r="AE2">
        <v>15035.093299199996</v>
      </c>
      <c r="AF2">
        <v>4779.6351164466396</v>
      </c>
      <c r="AG2">
        <v>51777.946726531292</v>
      </c>
      <c r="AH2">
        <v>5291.2151932367697</v>
      </c>
      <c r="AI2">
        <v>3985.0836480000007</v>
      </c>
      <c r="AJ2">
        <v>5067.4701542399998</v>
      </c>
      <c r="AK2">
        <v>996.47270771567639</v>
      </c>
      <c r="AL2">
        <v>49314.560755199986</v>
      </c>
      <c r="AM2">
        <v>7772.451378564866</v>
      </c>
      <c r="AN2">
        <v>45318.145017600007</v>
      </c>
      <c r="AO2">
        <v>2443.4222591999887</v>
      </c>
      <c r="AP2">
        <v>9276.0715007999988</v>
      </c>
      <c r="AQ2">
        <v>2430.8264448000004</v>
      </c>
      <c r="AR2">
        <v>17456.744421214702</v>
      </c>
      <c r="AS2">
        <v>1504.7647680000011</v>
      </c>
      <c r="AT2">
        <v>36146.788246781849</v>
      </c>
      <c r="AU2">
        <v>15897.326515200004</v>
      </c>
      <c r="AV2">
        <v>18962.421354288119</v>
      </c>
      <c r="AW2">
        <v>29004.845875200004</v>
      </c>
      <c r="AX2">
        <v>4642.5105792000022</v>
      </c>
      <c r="AY2">
        <v>6029.5297816837283</v>
      </c>
      <c r="AZ2">
        <v>33369.676081652186</v>
      </c>
      <c r="BA2">
        <v>1371.4088988284977</v>
      </c>
      <c r="BB2">
        <v>76861.452460692613</v>
      </c>
      <c r="BC2">
        <v>24973.874000385767</v>
      </c>
      <c r="BD2">
        <v>33527.442682863686</v>
      </c>
      <c r="BE2">
        <v>8562.336307199992</v>
      </c>
      <c r="BF2">
        <v>1591.7546112000005</v>
      </c>
      <c r="BG2">
        <v>2261.390643200004</v>
      </c>
      <c r="BH2">
        <v>4225.7128203166794</v>
      </c>
      <c r="BI2">
        <v>17711.495206901367</v>
      </c>
      <c r="BJ2">
        <v>2968.4274047999957</v>
      </c>
      <c r="BK2">
        <v>24551.500269970027</v>
      </c>
      <c r="BL2">
        <v>19531.516240991506</v>
      </c>
      <c r="BM2">
        <v>902.13929727999948</v>
      </c>
      <c r="BN2">
        <v>4561.5286080000196</v>
      </c>
      <c r="BO2">
        <v>3093.1881177599985</v>
      </c>
      <c r="BP2">
        <v>12427.196651591368</v>
      </c>
      <c r="BQ2">
        <v>3587.89090588916</v>
      </c>
      <c r="BR2">
        <v>7393.1768593711558</v>
      </c>
      <c r="BS2">
        <v>24624.380884951341</v>
      </c>
      <c r="BT2">
        <v>1271.4590719999999</v>
      </c>
      <c r="BU2">
        <v>23899.024780799999</v>
      </c>
      <c r="BV2">
        <v>11738.553701829816</v>
      </c>
      <c r="BW2">
        <v>18418.975411199994</v>
      </c>
      <c r="BX2">
        <v>6126.8130281300282</v>
      </c>
      <c r="BY2">
        <v>27149.979617279998</v>
      </c>
      <c r="BZ2">
        <v>8490.2970880000048</v>
      </c>
      <c r="CA2">
        <v>10235.837633837727</v>
      </c>
      <c r="CB2">
        <v>3675.7133049485942</v>
      </c>
      <c r="CC2">
        <v>3240.1075200000014</v>
      </c>
      <c r="CD2">
        <v>9283.222893112812</v>
      </c>
      <c r="CE2">
        <v>43467.028500479995</v>
      </c>
      <c r="CF2">
        <v>58247.786156935035</v>
      </c>
      <c r="CG2">
        <v>3120.0605696000007</v>
      </c>
      <c r="CH2">
        <v>2974.7667455999995</v>
      </c>
      <c r="CI2">
        <v>7322.3260515783941</v>
      </c>
      <c r="CJ2">
        <v>1366.6285219740666</v>
      </c>
      <c r="CK2">
        <v>6470.448353084641</v>
      </c>
      <c r="CL2">
        <v>5002.9008664506155</v>
      </c>
      <c r="CM2">
        <v>5589.9132725502413</v>
      </c>
      <c r="CN2">
        <v>23955.517542519312</v>
      </c>
      <c r="CO2">
        <v>3604.5414203999339</v>
      </c>
      <c r="CP2">
        <v>7693.0245842284121</v>
      </c>
      <c r="CQ2">
        <v>1609.4342789439725</v>
      </c>
      <c r="CR2">
        <v>3682.06592</v>
      </c>
      <c r="CS2">
        <v>5292.3372854706431</v>
      </c>
      <c r="CT2">
        <v>21958.233523200004</v>
      </c>
      <c r="CU2">
        <v>8365.2532454400043</v>
      </c>
      <c r="CV2">
        <v>22939.240094756664</v>
      </c>
      <c r="CW2">
        <v>3267.2297083195235</v>
      </c>
      <c r="CX2">
        <v>9199.3125297409697</v>
      </c>
      <c r="CY2">
        <v>9767.7789893531244</v>
      </c>
      <c r="CZ2">
        <v>3398.4294489599993</v>
      </c>
      <c r="DA2">
        <v>2662.7616404212622</v>
      </c>
      <c r="DB2">
        <v>12483.805567999998</v>
      </c>
      <c r="DC2">
        <v>5479.7317120000016</v>
      </c>
      <c r="DD2">
        <v>19457.080447999997</v>
      </c>
      <c r="DE2">
        <v>19467.804844800001</v>
      </c>
      <c r="DF2">
        <v>15040.825855235995</v>
      </c>
      <c r="DG2">
        <v>8344.8099072000005</v>
      </c>
      <c r="DH2">
        <v>4755.9011857787555</v>
      </c>
      <c r="DI2">
        <v>1620.3852287999996</v>
      </c>
      <c r="DJ2">
        <v>22403.838080000001</v>
      </c>
      <c r="DK2">
        <v>1238.2381269904738</v>
      </c>
      <c r="DL2">
        <v>10530.281924088848</v>
      </c>
      <c r="DM2">
        <v>3088.5710336000002</v>
      </c>
      <c r="DN2">
        <v>39743.28672609041</v>
      </c>
      <c r="DO2">
        <v>3218.3234306580807</v>
      </c>
      <c r="DP2">
        <v>36059.684509262719</v>
      </c>
      <c r="DQ2">
        <v>53955.745459200007</v>
      </c>
      <c r="DR2">
        <v>2392.0998400000185</v>
      </c>
      <c r="DS2">
        <v>4098.4004460038814</v>
      </c>
      <c r="DT2">
        <v>58192.415151407222</v>
      </c>
      <c r="DU2">
        <v>5110.1315199853079</v>
      </c>
      <c r="DV2">
        <v>1611.7127448828915</v>
      </c>
      <c r="DW2">
        <v>9734.9624319999984</v>
      </c>
      <c r="DX2">
        <v>5727.2836607999971</v>
      </c>
      <c r="DY2">
        <v>47823.749147654358</v>
      </c>
      <c r="DZ2">
        <v>7576.8243199999997</v>
      </c>
      <c r="EA2">
        <v>8322.5382887639462</v>
      </c>
      <c r="EB2">
        <v>6061.8392639999856</v>
      </c>
      <c r="EC2">
        <v>13304.743296000002</v>
      </c>
      <c r="ED2">
        <v>28655.795015736039</v>
      </c>
      <c r="EE2">
        <v>40187.309675924029</v>
      </c>
      <c r="EF2">
        <v>40215.590272000001</v>
      </c>
      <c r="EG2">
        <v>5814.3080319999954</v>
      </c>
      <c r="EH2">
        <v>7248.1177600000001</v>
      </c>
      <c r="EI2">
        <v>47184.583679999974</v>
      </c>
      <c r="EJ2">
        <v>44684.358890490985</v>
      </c>
      <c r="EK2">
        <v>8550.6997665085164</v>
      </c>
      <c r="EL2">
        <v>5066.5075135999996</v>
      </c>
      <c r="EM2">
        <v>64341.393642748109</v>
      </c>
      <c r="EN2">
        <v>67955.294824748082</v>
      </c>
      <c r="EO2">
        <v>502.72332799065549</v>
      </c>
      <c r="EP2">
        <v>2967.3605923262248</v>
      </c>
      <c r="EQ2">
        <v>17018.72197405119</v>
      </c>
      <c r="ER2">
        <v>1840.8534144000059</v>
      </c>
      <c r="ES2">
        <v>5454.3605375999987</v>
      </c>
      <c r="ET2">
        <v>45094.205853131563</v>
      </c>
      <c r="EU2">
        <v>2865.7135104000013</v>
      </c>
      <c r="EV2">
        <v>20697.976072871334</v>
      </c>
      <c r="EW2">
        <v>34180.258941198277</v>
      </c>
      <c r="EX2">
        <v>3221.1738171879242</v>
      </c>
      <c r="EY2">
        <v>8641.7207709162994</v>
      </c>
      <c r="EZ2">
        <v>29961.962035200009</v>
      </c>
      <c r="FA2">
        <v>18474.164041583103</v>
      </c>
      <c r="FB2">
        <v>4981.1473920000062</v>
      </c>
      <c r="FC2">
        <v>8119.3227315200002</v>
      </c>
      <c r="FD2">
        <v>4320.7027135999888</v>
      </c>
      <c r="FE2">
        <v>26037.590746169379</v>
      </c>
      <c r="FF2">
        <v>25134.519487999994</v>
      </c>
      <c r="FG2">
        <v>42873.762928496471</v>
      </c>
      <c r="FH2">
        <v>18016.019840000001</v>
      </c>
      <c r="FI2">
        <v>2315.5214916256959</v>
      </c>
      <c r="FJ2">
        <v>14849.46320064895</v>
      </c>
      <c r="FK2">
        <v>29011.486465913847</v>
      </c>
      <c r="FL2">
        <v>9596.9084390400076</v>
      </c>
      <c r="FM2">
        <v>1703.3352959999993</v>
      </c>
      <c r="FN2">
        <v>45826.903915248193</v>
      </c>
      <c r="FO2">
        <v>5186.9618943999967</v>
      </c>
      <c r="FP2">
        <v>735.58451199999877</v>
      </c>
      <c r="FQ2">
        <v>7301.9261952000043</v>
      </c>
      <c r="FR2">
        <v>6348.1703001599999</v>
      </c>
      <c r="FS2">
        <v>629.97524795231584</v>
      </c>
      <c r="FT2">
        <v>1878.2880312605007</v>
      </c>
      <c r="FU2">
        <v>275.17434879999951</v>
      </c>
      <c r="FV2">
        <v>7404.322431999999</v>
      </c>
      <c r="FW2">
        <v>2986.2300415999998</v>
      </c>
      <c r="FX2">
        <v>8075.2429056000001</v>
      </c>
      <c r="FY2">
        <v>5229.5047866979303</v>
      </c>
      <c r="FZ2">
        <v>4691.5265279999994</v>
      </c>
      <c r="GA2">
        <v>3403.7757696445956</v>
      </c>
      <c r="GB2">
        <v>6090.4170877133602</v>
      </c>
      <c r="GC2">
        <v>36047.199431857269</v>
      </c>
      <c r="GD2">
        <v>3726.7037183999983</v>
      </c>
      <c r="GE2">
        <v>9277.8117120000024</v>
      </c>
      <c r="GF2">
        <v>11607.415872</v>
      </c>
      <c r="GG2">
        <v>58398.577717044085</v>
      </c>
      <c r="GH2">
        <v>5534.65520085363</v>
      </c>
      <c r="GI2">
        <v>2547.0615039999998</v>
      </c>
      <c r="GJ2">
        <v>14181.677153280014</v>
      </c>
      <c r="GK2">
        <v>45860.03435519999</v>
      </c>
      <c r="GL2">
        <v>37351.546928492717</v>
      </c>
      <c r="GM2">
        <v>5909.3617704235248</v>
      </c>
      <c r="GN2">
        <v>830.05311999999924</v>
      </c>
      <c r="GO2">
        <v>3277.8120959999992</v>
      </c>
      <c r="GP2">
        <v>46300.463533550836</v>
      </c>
      <c r="GQ2">
        <v>507.42047382242197</v>
      </c>
      <c r="GR2">
        <v>299.20583679999987</v>
      </c>
      <c r="GS2">
        <v>211.43566080000019</v>
      </c>
      <c r="GT2">
        <v>716.09690879999948</v>
      </c>
      <c r="GU2">
        <v>22758.868787200005</v>
      </c>
      <c r="GV2">
        <v>12805.717017600005</v>
      </c>
      <c r="GW2">
        <v>16705.001870256121</v>
      </c>
      <c r="GX2">
        <v>5567.6450236741603</v>
      </c>
      <c r="GY2">
        <v>7267.1081599999998</v>
      </c>
      <c r="GZ2">
        <v>4001.6098616441291</v>
      </c>
      <c r="HA2">
        <v>18563.131872295671</v>
      </c>
      <c r="HB2">
        <v>2041.9652032000054</v>
      </c>
      <c r="HC2">
        <v>20398.729011587529</v>
      </c>
      <c r="HD2">
        <v>4982.5975679999829</v>
      </c>
      <c r="HE2">
        <v>1610.5464304966979</v>
      </c>
      <c r="HF2">
        <v>17824.450411021764</v>
      </c>
      <c r="HG2">
        <v>7753.7936187146461</v>
      </c>
      <c r="HH2">
        <v>18930.017433600002</v>
      </c>
      <c r="HI2">
        <v>50257.034492998995</v>
      </c>
      <c r="HJ2">
        <v>4389.7945270014898</v>
      </c>
      <c r="HK2">
        <v>2788.3656478459543</v>
      </c>
      <c r="HL2">
        <v>1367.6048012019116</v>
      </c>
      <c r="HM2">
        <v>18438.504448000003</v>
      </c>
      <c r="HN2">
        <v>3814.7915519999997</v>
      </c>
      <c r="HO2">
        <v>1934.1204479999951</v>
      </c>
      <c r="HP2">
        <v>391.96185599999825</v>
      </c>
      <c r="HQ2">
        <v>1540.0879885482113</v>
      </c>
      <c r="HR2">
        <v>32176.905352300324</v>
      </c>
      <c r="HS2">
        <v>2688.2119680000092</v>
      </c>
      <c r="HT2">
        <v>4654.3605887999993</v>
      </c>
      <c r="HU2">
        <v>9786.9166530509337</v>
      </c>
      <c r="HV2">
        <v>15160.220382854162</v>
      </c>
      <c r="HW2">
        <v>6790.4026355959904</v>
      </c>
      <c r="HX2">
        <v>21171.575193600009</v>
      </c>
      <c r="HY2">
        <v>23120.570304000001</v>
      </c>
      <c r="HZ2">
        <v>23652.149580800004</v>
      </c>
      <c r="IA2">
        <v>819.63947519999181</v>
      </c>
      <c r="IB2">
        <v>18100.406272</v>
      </c>
      <c r="IC2">
        <v>13074.289612800001</v>
      </c>
      <c r="ID2">
        <v>49137.266380800007</v>
      </c>
      <c r="IE2">
        <v>4797.1904947199992</v>
      </c>
      <c r="IF2">
        <v>1229.5420799999999</v>
      </c>
      <c r="IG2">
        <v>38815.013403955374</v>
      </c>
      <c r="IH2">
        <v>6790.7841765548828</v>
      </c>
      <c r="II2">
        <v>37792.415231999992</v>
      </c>
      <c r="IJ2">
        <v>4002.0299903999976</v>
      </c>
      <c r="IK2">
        <v>19334.287831040001</v>
      </c>
      <c r="IL2">
        <v>9486.1813474695409</v>
      </c>
      <c r="IM2">
        <v>547.58645759999899</v>
      </c>
      <c r="IN2">
        <v>1591.713177599999</v>
      </c>
      <c r="IO2">
        <v>48150.677120000022</v>
      </c>
      <c r="IP2">
        <v>4961.5354880000041</v>
      </c>
      <c r="IQ2">
        <v>25399.459737599998</v>
      </c>
      <c r="IR2">
        <v>7789.9311360000029</v>
      </c>
      <c r="IS2">
        <v>15547.267253921413</v>
      </c>
      <c r="IT2">
        <v>23046.735628800001</v>
      </c>
      <c r="IU2">
        <v>4382.63904</v>
      </c>
      <c r="IV2">
        <v>6001.5740928000005</v>
      </c>
      <c r="IW2">
        <v>8206.6150400000006</v>
      </c>
      <c r="IX2">
        <v>4004.114868805651</v>
      </c>
      <c r="IY2">
        <v>7955.8036479999964</v>
      </c>
      <c r="IZ2">
        <v>1651.2670719999987</v>
      </c>
    </row>
    <row r="3" spans="1:260" x14ac:dyDescent="0.35">
      <c r="A3" s="1" t="s">
        <v>1</v>
      </c>
      <c r="B3">
        <v>16836.627170303873</v>
      </c>
      <c r="C3">
        <v>3622356.0148048</v>
      </c>
      <c r="D3">
        <v>2422684.8148047999</v>
      </c>
      <c r="E3">
        <v>750</v>
      </c>
    </row>
    <row r="4" spans="1:260" x14ac:dyDescent="0.35">
      <c r="A4" s="1" t="s">
        <v>2</v>
      </c>
      <c r="B4">
        <v>3901.9530501809991</v>
      </c>
      <c r="C4">
        <v>683679.47539840033</v>
      </c>
      <c r="D4">
        <v>527402.56779834325</v>
      </c>
      <c r="E4">
        <v>400</v>
      </c>
    </row>
    <row r="5" spans="1:260" x14ac:dyDescent="0.35">
      <c r="A5" s="1" t="s">
        <v>3</v>
      </c>
      <c r="B5">
        <v>9863.2630526348803</v>
      </c>
      <c r="C5">
        <v>2168490.0741920001</v>
      </c>
      <c r="D5">
        <v>1416154.0741920001</v>
      </c>
      <c r="E5">
        <v>460</v>
      </c>
    </row>
    <row r="6" spans="1:260" x14ac:dyDescent="0.35">
      <c r="A6" s="1" t="s">
        <v>4</v>
      </c>
      <c r="B6">
        <v>4539.9226718586879</v>
      </c>
      <c r="C6">
        <v>982906.3300991999</v>
      </c>
      <c r="D6">
        <v>623482.33009920001</v>
      </c>
      <c r="E6">
        <v>399.99999999999989</v>
      </c>
    </row>
    <row r="7" spans="1:260" x14ac:dyDescent="0.35">
      <c r="A7" s="1" t="s">
        <v>5</v>
      </c>
      <c r="B7">
        <v>28220.273182642562</v>
      </c>
      <c r="C7">
        <v>4570975.6769040003</v>
      </c>
      <c r="D7">
        <v>4233474.8769040005</v>
      </c>
      <c r="E7">
        <v>109.99999999999999</v>
      </c>
    </row>
    <row r="8" spans="1:260" x14ac:dyDescent="0.35">
      <c r="A8" s="1" t="s">
        <v>6</v>
      </c>
      <c r="B8">
        <v>18625.649891910656</v>
      </c>
      <c r="C8">
        <v>4203039.9109503999</v>
      </c>
      <c r="D8">
        <v>2744826.7909503998</v>
      </c>
      <c r="E8">
        <v>400.00000000000034</v>
      </c>
    </row>
    <row r="9" spans="1:260" x14ac:dyDescent="0.35">
      <c r="A9" s="1" t="s">
        <v>7</v>
      </c>
      <c r="B9">
        <v>11265.667174168961</v>
      </c>
      <c r="C9">
        <v>3020731.2346640001</v>
      </c>
      <c r="D9">
        <v>1634889.634664</v>
      </c>
      <c r="E9">
        <v>410</v>
      </c>
    </row>
    <row r="10" spans="1:260" x14ac:dyDescent="0.35">
      <c r="A10" s="1" t="s">
        <v>8</v>
      </c>
      <c r="B10">
        <v>3063.5437020899803</v>
      </c>
      <c r="C10">
        <v>638492.4076960003</v>
      </c>
      <c r="D10">
        <v>346919.23224246688</v>
      </c>
      <c r="E10">
        <v>760</v>
      </c>
    </row>
    <row r="11" spans="1:260" x14ac:dyDescent="0.35">
      <c r="A11" s="1" t="s">
        <v>9</v>
      </c>
      <c r="B11">
        <v>5942.5912585605111</v>
      </c>
      <c r="C11">
        <v>2013746.4791808</v>
      </c>
      <c r="D11">
        <v>834727.59918079991</v>
      </c>
      <c r="E11">
        <v>400</v>
      </c>
    </row>
    <row r="12" spans="1:260" x14ac:dyDescent="0.35">
      <c r="A12" s="1" t="s">
        <v>10</v>
      </c>
      <c r="B12">
        <v>14958.815390098434</v>
      </c>
      <c r="C12">
        <v>2307632.6985088</v>
      </c>
      <c r="D12">
        <v>2243797.4985088003</v>
      </c>
      <c r="E12">
        <v>60</v>
      </c>
    </row>
    <row r="13" spans="1:260" x14ac:dyDescent="0.35">
      <c r="A13" s="1" t="s">
        <v>11</v>
      </c>
      <c r="B13">
        <v>27473.06875655078</v>
      </c>
      <c r="C13">
        <v>5591532.0657455996</v>
      </c>
      <c r="D13">
        <v>4119438.0657455996</v>
      </c>
      <c r="E13">
        <v>120</v>
      </c>
    </row>
    <row r="14" spans="1:260" x14ac:dyDescent="0.35">
      <c r="A14" s="1" t="s">
        <v>12</v>
      </c>
      <c r="B14">
        <v>5810.9844716719172</v>
      </c>
      <c r="C14">
        <v>1280700.9598240005</v>
      </c>
      <c r="D14">
        <v>762196.45657709602</v>
      </c>
      <c r="E14">
        <v>750.00000000000023</v>
      </c>
    </row>
    <row r="15" spans="1:260" x14ac:dyDescent="0.35">
      <c r="A15" s="1" t="s">
        <v>13</v>
      </c>
      <c r="B15">
        <v>57878.858311884804</v>
      </c>
      <c r="C15">
        <v>13269099.384319998</v>
      </c>
      <c r="D15">
        <v>8707659.3843200002</v>
      </c>
      <c r="E15">
        <v>60</v>
      </c>
    </row>
    <row r="16" spans="1:260" x14ac:dyDescent="0.35">
      <c r="A16" s="1" t="s">
        <v>14</v>
      </c>
      <c r="B16">
        <v>13143.542302628481</v>
      </c>
      <c r="C16">
        <v>4652032.0894319993</v>
      </c>
      <c r="D16">
        <v>1908666.0094320001</v>
      </c>
      <c r="E16">
        <v>470</v>
      </c>
    </row>
    <row r="17" spans="1:5" x14ac:dyDescent="0.35">
      <c r="A17" s="1" t="s">
        <v>15</v>
      </c>
      <c r="B17">
        <v>14493.39936541162</v>
      </c>
      <c r="C17">
        <v>6052691.9729328007</v>
      </c>
      <c r="D17">
        <v>2122499.9044294609</v>
      </c>
      <c r="E17">
        <v>400</v>
      </c>
    </row>
    <row r="18" spans="1:5" x14ac:dyDescent="0.35">
      <c r="A18" s="1" t="s">
        <v>16</v>
      </c>
      <c r="B18">
        <v>42193.428959086057</v>
      </c>
      <c r="C18">
        <v>12743804.123856001</v>
      </c>
      <c r="D18">
        <v>6286660.9878141657</v>
      </c>
      <c r="E18">
        <v>450</v>
      </c>
    </row>
    <row r="19" spans="1:5" x14ac:dyDescent="0.35">
      <c r="A19" s="1" t="s">
        <v>17</v>
      </c>
      <c r="B19">
        <v>24765.917532996551</v>
      </c>
      <c r="C19">
        <v>4010909.8045119978</v>
      </c>
      <c r="D19">
        <v>3675589.989909119</v>
      </c>
      <c r="E19">
        <v>360.00000000000006</v>
      </c>
    </row>
    <row r="20" spans="1:5" x14ac:dyDescent="0.35">
      <c r="A20" s="1" t="s">
        <v>18</v>
      </c>
      <c r="B20">
        <v>1688.4125736964622</v>
      </c>
      <c r="C20">
        <v>321351.79161280021</v>
      </c>
      <c r="D20">
        <v>252772.97796633467</v>
      </c>
      <c r="E20">
        <v>10.000000000000057</v>
      </c>
    </row>
    <row r="21" spans="1:5" x14ac:dyDescent="0.35">
      <c r="A21" s="1" t="s">
        <v>19</v>
      </c>
      <c r="B21">
        <v>36071.578823890319</v>
      </c>
      <c r="C21">
        <v>12273895.477583999</v>
      </c>
      <c r="D21">
        <v>5316502.8349232404</v>
      </c>
      <c r="E21">
        <v>770</v>
      </c>
    </row>
    <row r="22" spans="1:5" x14ac:dyDescent="0.35">
      <c r="A22" s="1" t="s">
        <v>20</v>
      </c>
      <c r="B22">
        <v>13344.000199662591</v>
      </c>
      <c r="C22">
        <v>4204682.7558527989</v>
      </c>
      <c r="D22">
        <v>1940361.4758527998</v>
      </c>
      <c r="E22">
        <v>460</v>
      </c>
    </row>
    <row r="23" spans="1:5" x14ac:dyDescent="0.35">
      <c r="A23" s="1" t="s">
        <v>21</v>
      </c>
      <c r="B23">
        <v>3743.8280832090381</v>
      </c>
      <c r="C23">
        <v>1167690.2409119997</v>
      </c>
      <c r="D23">
        <v>447865.67518208403</v>
      </c>
      <c r="E23">
        <v>770</v>
      </c>
    </row>
    <row r="24" spans="1:5" x14ac:dyDescent="0.35">
      <c r="A24" s="1" t="s">
        <v>22</v>
      </c>
      <c r="B24">
        <v>21144.601241210294</v>
      </c>
      <c r="C24">
        <v>10913034.332491202</v>
      </c>
      <c r="D24">
        <v>3115150.7893388998</v>
      </c>
      <c r="E24">
        <v>460</v>
      </c>
    </row>
    <row r="25" spans="1:5" x14ac:dyDescent="0.35">
      <c r="A25" s="1" t="s">
        <v>23</v>
      </c>
      <c r="B25">
        <v>8733.2367755983123</v>
      </c>
      <c r="C25">
        <v>2104586.1398848016</v>
      </c>
      <c r="D25">
        <v>1307716.3818672157</v>
      </c>
      <c r="E25">
        <v>49.999999999999957</v>
      </c>
    </row>
    <row r="26" spans="1:5" x14ac:dyDescent="0.35">
      <c r="A26" s="1" t="s">
        <v>24</v>
      </c>
      <c r="B26">
        <v>6005.8926379266559</v>
      </c>
      <c r="C26">
        <v>1442918.1153504001</v>
      </c>
      <c r="D26">
        <v>842754.91535040003</v>
      </c>
      <c r="E26">
        <v>410</v>
      </c>
    </row>
    <row r="27" spans="1:5" x14ac:dyDescent="0.35">
      <c r="A27" s="1" t="s">
        <v>25</v>
      </c>
      <c r="B27">
        <v>11017.684085561856</v>
      </c>
      <c r="C27">
        <v>2377282.2650303999</v>
      </c>
      <c r="D27">
        <v>1614109.0490303999</v>
      </c>
      <c r="E27">
        <v>299.99999999999994</v>
      </c>
    </row>
    <row r="28" spans="1:5" x14ac:dyDescent="0.35">
      <c r="A28" s="1" t="s">
        <v>26</v>
      </c>
      <c r="B28">
        <v>3986.8096902665325</v>
      </c>
      <c r="C28">
        <v>741458.1924672001</v>
      </c>
      <c r="D28">
        <v>591387.00154616451</v>
      </c>
      <c r="E28">
        <v>60</v>
      </c>
    </row>
    <row r="29" spans="1:5" x14ac:dyDescent="0.35">
      <c r="A29" s="1" t="s">
        <v>27</v>
      </c>
      <c r="B29">
        <v>23656.692095001086</v>
      </c>
      <c r="C29">
        <v>10875188.682259198</v>
      </c>
      <c r="D29">
        <v>3448297.0022592</v>
      </c>
      <c r="E29">
        <v>760</v>
      </c>
    </row>
    <row r="30" spans="1:5" x14ac:dyDescent="0.35">
      <c r="A30" s="1" t="s">
        <v>28</v>
      </c>
      <c r="B30">
        <v>7352.1818337440054</v>
      </c>
      <c r="C30">
        <v>2217565.2428176012</v>
      </c>
      <c r="D30">
        <v>1047015.3364072297</v>
      </c>
      <c r="E30">
        <v>400.00000000000006</v>
      </c>
    </row>
    <row r="31" spans="1:5" x14ac:dyDescent="0.35">
      <c r="A31" s="1" t="s">
        <v>29</v>
      </c>
      <c r="B31">
        <v>24305.743775718525</v>
      </c>
      <c r="C31">
        <v>10371067.589355201</v>
      </c>
      <c r="D31">
        <v>3546045.7493551997</v>
      </c>
      <c r="E31">
        <v>760</v>
      </c>
    </row>
    <row r="32" spans="1:5" x14ac:dyDescent="0.35">
      <c r="A32" s="1" t="s">
        <v>30</v>
      </c>
      <c r="B32">
        <v>5778.2328644519685</v>
      </c>
      <c r="C32">
        <v>1191514.3258511983</v>
      </c>
      <c r="D32">
        <v>823529.0458512</v>
      </c>
      <c r="E32">
        <v>309.99999999999977</v>
      </c>
    </row>
    <row r="33" spans="1:5" x14ac:dyDescent="0.35">
      <c r="A33" s="1" t="s">
        <v>31</v>
      </c>
      <c r="B33">
        <v>6135.0288637642243</v>
      </c>
      <c r="C33">
        <v>2214021.1392415999</v>
      </c>
      <c r="D33">
        <v>817022.41924160009</v>
      </c>
      <c r="E33">
        <v>710</v>
      </c>
    </row>
    <row r="34" spans="1:5" x14ac:dyDescent="0.35">
      <c r="A34" s="1" t="s">
        <v>32</v>
      </c>
      <c r="B34">
        <v>4231.9178181617926</v>
      </c>
      <c r="C34">
        <v>992883.1721328001</v>
      </c>
      <c r="D34">
        <v>626794.85213280004</v>
      </c>
      <c r="E34">
        <v>69.999999999999886</v>
      </c>
    </row>
    <row r="35" spans="1:5" x14ac:dyDescent="0.35">
      <c r="A35" s="1" t="s">
        <v>33</v>
      </c>
      <c r="B35">
        <v>20963.465462320659</v>
      </c>
      <c r="C35">
        <v>5725935.2234239997</v>
      </c>
      <c r="D35">
        <v>3096907.4491446773</v>
      </c>
      <c r="E35">
        <v>400</v>
      </c>
    </row>
    <row r="36" spans="1:5" x14ac:dyDescent="0.35">
      <c r="A36" s="1" t="s">
        <v>34</v>
      </c>
      <c r="B36">
        <v>13410.263311872382</v>
      </c>
      <c r="C36">
        <v>2192022.3011856</v>
      </c>
      <c r="D36">
        <v>1965401.1011855998</v>
      </c>
      <c r="E36">
        <v>360</v>
      </c>
    </row>
    <row r="37" spans="1:5" x14ac:dyDescent="0.35">
      <c r="A37" s="1" t="s">
        <v>35</v>
      </c>
      <c r="B37">
        <v>20296.3639246245</v>
      </c>
      <c r="C37">
        <v>8395053.0378624015</v>
      </c>
      <c r="D37">
        <v>2951259.6272024848</v>
      </c>
      <c r="E37">
        <v>699.99999999999989</v>
      </c>
    </row>
    <row r="38" spans="1:5" x14ac:dyDescent="0.35">
      <c r="A38" s="1" t="s">
        <v>36</v>
      </c>
      <c r="B38">
        <v>20194.269673520768</v>
      </c>
      <c r="C38">
        <v>5373734.3657712005</v>
      </c>
      <c r="D38">
        <v>2979558.6857711999</v>
      </c>
      <c r="E38">
        <v>410</v>
      </c>
    </row>
    <row r="39" spans="1:5" x14ac:dyDescent="0.35">
      <c r="A39" s="1" t="s">
        <v>37</v>
      </c>
      <c r="B39">
        <v>19812.496869753351</v>
      </c>
      <c r="C39">
        <v>5770319.0096447999</v>
      </c>
      <c r="D39">
        <v>2914532.6611074326</v>
      </c>
      <c r="E39">
        <v>460</v>
      </c>
    </row>
    <row r="40" spans="1:5" x14ac:dyDescent="0.35">
      <c r="A40" s="1" t="s">
        <v>38</v>
      </c>
      <c r="B40">
        <v>45472.715482074105</v>
      </c>
      <c r="C40">
        <v>11169813.4574208</v>
      </c>
      <c r="D40">
        <v>6801613.7774207992</v>
      </c>
      <c r="E40">
        <v>310</v>
      </c>
    </row>
    <row r="41" spans="1:5" x14ac:dyDescent="0.35">
      <c r="A41" s="1" t="s">
        <v>39</v>
      </c>
      <c r="B41">
        <v>6001.5767933495044</v>
      </c>
      <c r="C41">
        <v>1526217.9777936004</v>
      </c>
      <c r="D41">
        <v>827044.69779360003</v>
      </c>
      <c r="E41">
        <v>510</v>
      </c>
    </row>
    <row r="42" spans="1:5" x14ac:dyDescent="0.35">
      <c r="A42" s="1" t="s">
        <v>40</v>
      </c>
      <c r="B42">
        <v>6111.9358772794722</v>
      </c>
      <c r="C42">
        <v>1705040.0088800001</v>
      </c>
      <c r="D42">
        <v>796978.29477100482</v>
      </c>
      <c r="E42">
        <v>820</v>
      </c>
    </row>
    <row r="43" spans="1:5" x14ac:dyDescent="0.35">
      <c r="A43" s="1" t="s">
        <v>41</v>
      </c>
      <c r="B43">
        <v>54136.805097991724</v>
      </c>
      <c r="C43">
        <v>13133506.201753601</v>
      </c>
      <c r="D43">
        <v>8107952.5749987541</v>
      </c>
      <c r="E43">
        <v>300</v>
      </c>
    </row>
    <row r="44" spans="1:5" x14ac:dyDescent="0.35">
      <c r="A44" s="1" t="s">
        <v>42</v>
      </c>
      <c r="B44">
        <v>27946.719252935458</v>
      </c>
      <c r="C44">
        <v>4413874.7216511983</v>
      </c>
      <c r="D44">
        <v>4207337.2368878704</v>
      </c>
      <c r="E44">
        <v>10</v>
      </c>
    </row>
    <row r="45" spans="1:5" x14ac:dyDescent="0.35">
      <c r="A45" s="1" t="s">
        <v>43</v>
      </c>
      <c r="B45">
        <v>43628.317059252346</v>
      </c>
      <c r="C45">
        <v>18076772.518064</v>
      </c>
      <c r="D45">
        <v>6501252.5691645099</v>
      </c>
      <c r="E45">
        <v>460</v>
      </c>
    </row>
    <row r="46" spans="1:5" x14ac:dyDescent="0.35">
      <c r="A46" s="1" t="s">
        <v>44</v>
      </c>
      <c r="B46">
        <v>20683.318379143449</v>
      </c>
      <c r="C46">
        <v>6806806.0812544003</v>
      </c>
      <c r="D46">
        <v>3045680.4787866641</v>
      </c>
      <c r="E46">
        <v>460</v>
      </c>
    </row>
    <row r="47" spans="1:5" x14ac:dyDescent="0.35">
      <c r="A47" s="1" t="s">
        <v>45</v>
      </c>
      <c r="B47">
        <v>26663.517134299069</v>
      </c>
      <c r="C47">
        <v>8950445.7555967998</v>
      </c>
      <c r="D47">
        <v>3901132.0985390162</v>
      </c>
      <c r="E47">
        <v>760</v>
      </c>
    </row>
    <row r="48" spans="1:5" x14ac:dyDescent="0.35">
      <c r="A48" s="1" t="s">
        <v>46</v>
      </c>
      <c r="B48">
        <v>7995.3202880135677</v>
      </c>
      <c r="C48">
        <v>2416815.7522911988</v>
      </c>
      <c r="D48">
        <v>1127307.2722912</v>
      </c>
      <c r="E48">
        <v>510</v>
      </c>
    </row>
    <row r="49" spans="1:5" x14ac:dyDescent="0.35">
      <c r="A49" s="1" t="s">
        <v>47</v>
      </c>
      <c r="B49">
        <v>34074.375360680831</v>
      </c>
      <c r="C49">
        <v>5362368.9716688003</v>
      </c>
      <c r="D49">
        <v>5122646.8916688003</v>
      </c>
      <c r="E49">
        <v>60</v>
      </c>
    </row>
    <row r="50" spans="1:5" x14ac:dyDescent="0.35">
      <c r="A50" s="1" t="s">
        <v>48</v>
      </c>
      <c r="B50">
        <v>6135.9833945564151</v>
      </c>
      <c r="C50">
        <v>1217978.0177344005</v>
      </c>
      <c r="D50">
        <v>877407.13773439988</v>
      </c>
      <c r="E50">
        <v>310</v>
      </c>
    </row>
    <row r="51" spans="1:5" x14ac:dyDescent="0.35">
      <c r="A51" s="1" t="s">
        <v>49</v>
      </c>
      <c r="B51">
        <v>4806.7460624622008</v>
      </c>
      <c r="C51">
        <v>1283502.8437920001</v>
      </c>
      <c r="D51">
        <v>647100.31061177724</v>
      </c>
      <c r="E51">
        <v>510</v>
      </c>
    </row>
    <row r="52" spans="1:5" x14ac:dyDescent="0.35">
      <c r="A52" s="1" t="s">
        <v>50</v>
      </c>
      <c r="B52">
        <v>28209.108002211207</v>
      </c>
      <c r="C52">
        <v>6861536.6278783996</v>
      </c>
      <c r="D52">
        <v>4194142.7714173505</v>
      </c>
      <c r="E52">
        <v>360</v>
      </c>
    </row>
    <row r="53" spans="1:5" x14ac:dyDescent="0.35">
      <c r="A53" s="1" t="s">
        <v>51</v>
      </c>
      <c r="B53">
        <v>5327.2423039001596</v>
      </c>
      <c r="C53">
        <v>1187600.8597439993</v>
      </c>
      <c r="D53">
        <v>740548.53974399995</v>
      </c>
      <c r="E53">
        <v>410</v>
      </c>
    </row>
    <row r="54" spans="1:5" x14ac:dyDescent="0.35">
      <c r="A54" s="1" t="s">
        <v>52</v>
      </c>
      <c r="B54">
        <v>23384.402905533334</v>
      </c>
      <c r="C54">
        <v>7097274.5746240001</v>
      </c>
      <c r="D54">
        <v>3399759.4737248998</v>
      </c>
      <c r="E54">
        <v>810</v>
      </c>
    </row>
    <row r="55" spans="1:5" x14ac:dyDescent="0.35">
      <c r="A55" s="1" t="s">
        <v>53</v>
      </c>
      <c r="B55">
        <v>16852.023864593386</v>
      </c>
      <c r="C55">
        <v>5402641.5821663998</v>
      </c>
      <c r="D55">
        <v>2461148.1723785223</v>
      </c>
      <c r="E55">
        <v>510</v>
      </c>
    </row>
    <row r="56" spans="1:5" x14ac:dyDescent="0.35">
      <c r="A56" s="1" t="s">
        <v>54</v>
      </c>
      <c r="B56">
        <v>2193.7720738558719</v>
      </c>
      <c r="C56">
        <v>389444.48360479996</v>
      </c>
      <c r="D56">
        <v>253580.13160480003</v>
      </c>
      <c r="E56">
        <v>510</v>
      </c>
    </row>
    <row r="57" spans="1:5" x14ac:dyDescent="0.35">
      <c r="A57" s="1" t="s">
        <v>55</v>
      </c>
      <c r="B57">
        <v>75637.763718647417</v>
      </c>
      <c r="C57">
        <v>12069170.531121602</v>
      </c>
      <c r="D57">
        <v>11382193.331121599</v>
      </c>
      <c r="E57">
        <v>60</v>
      </c>
    </row>
    <row r="58" spans="1:5" x14ac:dyDescent="0.35">
      <c r="A58" s="1" t="s">
        <v>56</v>
      </c>
      <c r="B58">
        <v>5988.8206794243843</v>
      </c>
      <c r="C58">
        <v>1254820.6019855998</v>
      </c>
      <c r="D58">
        <v>788979.01798560005</v>
      </c>
      <c r="E58">
        <v>750</v>
      </c>
    </row>
    <row r="59" spans="1:5" x14ac:dyDescent="0.35">
      <c r="A59" s="1" t="s">
        <v>57</v>
      </c>
      <c r="B59">
        <v>12201.355212350263</v>
      </c>
      <c r="C59">
        <v>3596167.4493887997</v>
      </c>
      <c r="D59">
        <v>1724601.6886069672</v>
      </c>
      <c r="E59">
        <v>750</v>
      </c>
    </row>
    <row r="60" spans="1:5" x14ac:dyDescent="0.35">
      <c r="A60" s="1" t="s">
        <v>58</v>
      </c>
      <c r="B60">
        <v>7346.5979770905524</v>
      </c>
      <c r="C60">
        <v>1639230.2534608</v>
      </c>
      <c r="D60">
        <v>1098885.2375136374</v>
      </c>
      <c r="E60">
        <v>50</v>
      </c>
    </row>
    <row r="61" spans="1:5" x14ac:dyDescent="0.35">
      <c r="A61" s="1" t="s">
        <v>59</v>
      </c>
      <c r="B61">
        <v>9402.5179526534193</v>
      </c>
      <c r="C61">
        <v>2473749.2186783999</v>
      </c>
      <c r="D61">
        <v>1360318.9687731054</v>
      </c>
      <c r="E61">
        <v>370</v>
      </c>
    </row>
    <row r="62" spans="1:5" x14ac:dyDescent="0.35">
      <c r="A62" s="1" t="s">
        <v>60</v>
      </c>
      <c r="B62">
        <v>23874.08726718638</v>
      </c>
      <c r="C62">
        <v>7243745.203635199</v>
      </c>
      <c r="D62">
        <v>3535254.1065039728</v>
      </c>
      <c r="E62">
        <v>400</v>
      </c>
    </row>
    <row r="63" spans="1:5" x14ac:dyDescent="0.35">
      <c r="A63" s="1" t="s">
        <v>61</v>
      </c>
      <c r="B63">
        <v>2887.1482262167042</v>
      </c>
      <c r="C63">
        <v>617260.1352736</v>
      </c>
      <c r="D63">
        <v>425775.33527360001</v>
      </c>
      <c r="E63">
        <v>60.000000000000014</v>
      </c>
    </row>
    <row r="64" spans="1:5" x14ac:dyDescent="0.35">
      <c r="A64" s="1" t="s">
        <v>62</v>
      </c>
      <c r="B64">
        <v>17023.625175300353</v>
      </c>
      <c r="C64">
        <v>6057628.0054367995</v>
      </c>
      <c r="D64">
        <v>2458377.2854367997</v>
      </c>
      <c r="E64">
        <v>700</v>
      </c>
    </row>
    <row r="65" spans="1:5" x14ac:dyDescent="0.35">
      <c r="A65" s="1" t="s">
        <v>63</v>
      </c>
      <c r="B65">
        <v>6616.5532612801981</v>
      </c>
      <c r="C65">
        <v>2657395.6269743997</v>
      </c>
      <c r="D65">
        <v>889541.1538072587</v>
      </c>
      <c r="E65">
        <v>710.00000000000011</v>
      </c>
    </row>
    <row r="66" spans="1:5" x14ac:dyDescent="0.35">
      <c r="A66" s="1" t="s">
        <v>64</v>
      </c>
      <c r="B66">
        <v>17516.247383478272</v>
      </c>
      <c r="C66">
        <v>5333617.890764799</v>
      </c>
      <c r="D66">
        <v>2559675.8107647998</v>
      </c>
      <c r="E66">
        <v>520</v>
      </c>
    </row>
    <row r="67" spans="1:5" x14ac:dyDescent="0.35">
      <c r="A67" s="1" t="s">
        <v>65</v>
      </c>
      <c r="B67">
        <v>6167.1490306002142</v>
      </c>
      <c r="C67">
        <v>1782223.2016160004</v>
      </c>
      <c r="D67">
        <v>859510.39617473108</v>
      </c>
      <c r="E67">
        <v>460</v>
      </c>
    </row>
    <row r="68" spans="1:5" x14ac:dyDescent="0.35">
      <c r="A68" s="1" t="s">
        <v>66</v>
      </c>
      <c r="B68">
        <v>22341.769550191613</v>
      </c>
      <c r="C68">
        <v>7384299.5734143993</v>
      </c>
      <c r="D68">
        <v>3295447.2214143998</v>
      </c>
      <c r="E68">
        <v>460</v>
      </c>
    </row>
    <row r="69" spans="1:5" x14ac:dyDescent="0.35">
      <c r="A69" s="1" t="s">
        <v>67</v>
      </c>
      <c r="B69">
        <v>16884.396249275389</v>
      </c>
      <c r="C69">
        <v>3804923.6953728003</v>
      </c>
      <c r="D69">
        <v>2526264.4953727997</v>
      </c>
      <c r="E69">
        <v>110</v>
      </c>
    </row>
    <row r="70" spans="1:5" x14ac:dyDescent="0.35">
      <c r="A70" s="1" t="s">
        <v>68</v>
      </c>
      <c r="B70">
        <v>34641.673609741658</v>
      </c>
      <c r="C70">
        <v>6713480.608972799</v>
      </c>
      <c r="D70">
        <v>5171938.7966478402</v>
      </c>
      <c r="E70">
        <v>300</v>
      </c>
    </row>
    <row r="71" spans="1:5" x14ac:dyDescent="0.35">
      <c r="A71" s="1" t="s">
        <v>69</v>
      </c>
      <c r="B71">
        <v>44374.291179057807</v>
      </c>
      <c r="C71">
        <v>7225904.2897600001</v>
      </c>
      <c r="D71">
        <v>6672333.0088942479</v>
      </c>
      <c r="E71">
        <v>70</v>
      </c>
    </row>
    <row r="72" spans="1:5" x14ac:dyDescent="0.35">
      <c r="A72" s="1" t="s">
        <v>70</v>
      </c>
      <c r="B72">
        <v>8205.3781374924802</v>
      </c>
      <c r="C72">
        <v>1669500.8520320002</v>
      </c>
      <c r="D72">
        <v>1181532.852032</v>
      </c>
      <c r="E72">
        <v>360.00000000000006</v>
      </c>
    </row>
    <row r="73" spans="1:5" x14ac:dyDescent="0.35">
      <c r="A73" s="1" t="s">
        <v>71</v>
      </c>
      <c r="B73">
        <v>15505.874117367828</v>
      </c>
      <c r="C73">
        <v>3677574.8509760001</v>
      </c>
      <c r="D73">
        <v>2279499.1140614199</v>
      </c>
      <c r="E73">
        <v>370</v>
      </c>
    </row>
    <row r="74" spans="1:5" x14ac:dyDescent="0.35">
      <c r="A74" s="1" t="s">
        <v>72</v>
      </c>
      <c r="B74">
        <v>36734.906402994427</v>
      </c>
      <c r="C74">
        <v>11965652.846908798</v>
      </c>
      <c r="D74">
        <v>5419413.6149087995</v>
      </c>
      <c r="E74">
        <v>750</v>
      </c>
    </row>
    <row r="75" spans="1:5" x14ac:dyDescent="0.35">
      <c r="A75" s="1" t="s">
        <v>73</v>
      </c>
      <c r="B75">
        <v>28406.249520236179</v>
      </c>
      <c r="C75">
        <v>12928318.626080001</v>
      </c>
      <c r="D75">
        <v>4156061.6747343643</v>
      </c>
      <c r="E75">
        <v>810</v>
      </c>
    </row>
    <row r="76" spans="1:5" x14ac:dyDescent="0.35">
      <c r="A76" s="1" t="s">
        <v>74</v>
      </c>
      <c r="B76">
        <v>5295.6511639626242</v>
      </c>
      <c r="C76">
        <v>1265920.4418016002</v>
      </c>
      <c r="D76">
        <v>796031.80180160003</v>
      </c>
      <c r="E76">
        <v>10.000000000000036</v>
      </c>
    </row>
    <row r="77" spans="1:5" x14ac:dyDescent="0.35">
      <c r="A77" s="1" t="s">
        <v>75</v>
      </c>
      <c r="B77">
        <v>6610.8716284445445</v>
      </c>
      <c r="C77">
        <v>1329162.4057296</v>
      </c>
      <c r="D77">
        <v>881155.36572960007</v>
      </c>
      <c r="E77">
        <v>760</v>
      </c>
    </row>
    <row r="78" spans="1:5" x14ac:dyDescent="0.35">
      <c r="A78" s="1" t="s">
        <v>76</v>
      </c>
      <c r="B78">
        <v>66214.286858405336</v>
      </c>
      <c r="C78">
        <v>11029610.378009599</v>
      </c>
      <c r="D78">
        <v>9926850.4304827321</v>
      </c>
      <c r="E78">
        <v>300.00000000000006</v>
      </c>
    </row>
    <row r="79" spans="1:5" x14ac:dyDescent="0.35">
      <c r="A79" s="1" t="s">
        <v>77</v>
      </c>
      <c r="B79">
        <v>12105.370820751437</v>
      </c>
      <c r="C79">
        <v>1974698.6961936001</v>
      </c>
      <c r="D79">
        <v>1768881.1477035298</v>
      </c>
      <c r="E79">
        <v>359.99999999999994</v>
      </c>
    </row>
    <row r="80" spans="1:5" x14ac:dyDescent="0.35">
      <c r="A80" s="1" t="s">
        <v>78</v>
      </c>
      <c r="B80">
        <v>25513.595110355232</v>
      </c>
      <c r="C80">
        <v>4764163.1722048</v>
      </c>
      <c r="D80">
        <v>3789698.0587884383</v>
      </c>
      <c r="E80">
        <v>350</v>
      </c>
    </row>
    <row r="81" spans="1:5" x14ac:dyDescent="0.35">
      <c r="A81" s="1" t="s">
        <v>79</v>
      </c>
      <c r="B81">
        <v>7676.4930474816738</v>
      </c>
      <c r="C81">
        <v>1849306.3123392002</v>
      </c>
      <c r="D81">
        <v>1095857.3866689268</v>
      </c>
      <c r="E81">
        <v>400</v>
      </c>
    </row>
    <row r="82" spans="1:5" x14ac:dyDescent="0.35">
      <c r="A82" s="1" t="s">
        <v>80</v>
      </c>
      <c r="B82">
        <v>15541.414791858077</v>
      </c>
      <c r="C82">
        <v>3171886.7566879997</v>
      </c>
      <c r="D82">
        <v>2330032.3481713971</v>
      </c>
      <c r="E82">
        <v>70</v>
      </c>
    </row>
    <row r="83" spans="1:5" x14ac:dyDescent="0.35">
      <c r="A83" s="1" t="s">
        <v>81</v>
      </c>
      <c r="B83">
        <v>11487.107512978282</v>
      </c>
      <c r="C83">
        <v>5268467.6288399994</v>
      </c>
      <c r="D83">
        <v>1660708.962797934</v>
      </c>
      <c r="E83">
        <v>460</v>
      </c>
    </row>
    <row r="84" spans="1:5" x14ac:dyDescent="0.35">
      <c r="A84" s="1" t="s">
        <v>82</v>
      </c>
      <c r="B84">
        <v>12076.481675733825</v>
      </c>
      <c r="C84">
        <v>2316419.1409839997</v>
      </c>
      <c r="D84">
        <v>1773566.5174297928</v>
      </c>
      <c r="E84">
        <v>300.00000000000006</v>
      </c>
    </row>
    <row r="85" spans="1:5" x14ac:dyDescent="0.35">
      <c r="A85" s="1" t="s">
        <v>83</v>
      </c>
      <c r="B85">
        <v>5287.8102695477173</v>
      </c>
      <c r="C85">
        <v>1831451.0321952</v>
      </c>
      <c r="D85">
        <v>672862.99240176461</v>
      </c>
      <c r="E85">
        <v>819.99999999999989</v>
      </c>
    </row>
    <row r="86" spans="1:5" x14ac:dyDescent="0.35">
      <c r="A86" s="1" t="s">
        <v>84</v>
      </c>
      <c r="B86">
        <v>10013.312135545628</v>
      </c>
      <c r="C86">
        <v>1750413.6166399999</v>
      </c>
      <c r="D86">
        <v>1508028.9360761486</v>
      </c>
    </row>
    <row r="87" spans="1:5" x14ac:dyDescent="0.35">
      <c r="A87" s="1" t="s">
        <v>85</v>
      </c>
      <c r="B87">
        <v>5071.6742698480648</v>
      </c>
      <c r="C87">
        <v>1211406.6550976001</v>
      </c>
      <c r="D87">
        <v>656878.65509760007</v>
      </c>
      <c r="E87">
        <v>710</v>
      </c>
    </row>
    <row r="88" spans="1:5" x14ac:dyDescent="0.35">
      <c r="A88" s="1" t="s">
        <v>86</v>
      </c>
      <c r="B88">
        <v>5256.9134695245575</v>
      </c>
      <c r="C88">
        <v>1465248.6076800001</v>
      </c>
      <c r="D88">
        <v>668209.85986815626</v>
      </c>
      <c r="E88">
        <v>820</v>
      </c>
    </row>
    <row r="89" spans="1:5" x14ac:dyDescent="0.35">
      <c r="A89" s="1" t="s">
        <v>87</v>
      </c>
      <c r="B89">
        <v>17035.002061636096</v>
      </c>
      <c r="C89">
        <v>5803198.1302464008</v>
      </c>
      <c r="D89">
        <v>2496235.2502464</v>
      </c>
      <c r="E89">
        <v>460</v>
      </c>
    </row>
    <row r="90" spans="1:5" x14ac:dyDescent="0.35">
      <c r="A90" s="1" t="s">
        <v>88</v>
      </c>
      <c r="B90">
        <v>11539.201306979199</v>
      </c>
      <c r="C90">
        <v>2937417.8542800006</v>
      </c>
      <c r="D90">
        <v>1677590.55828</v>
      </c>
      <c r="E90">
        <v>400</v>
      </c>
    </row>
    <row r="91" spans="1:5" x14ac:dyDescent="0.35">
      <c r="A91" s="1" t="s">
        <v>89</v>
      </c>
      <c r="B91">
        <v>16974.2440502274</v>
      </c>
      <c r="C91">
        <v>5889078.9374976</v>
      </c>
      <c r="D91">
        <v>2434374.1039499096</v>
      </c>
      <c r="E91">
        <v>810</v>
      </c>
    </row>
    <row r="92" spans="1:5" x14ac:dyDescent="0.35">
      <c r="A92" s="1" t="s">
        <v>90</v>
      </c>
      <c r="B92">
        <v>37015.663946909153</v>
      </c>
      <c r="C92">
        <v>6010977.9601248009</v>
      </c>
      <c r="D92">
        <v>5518925.29320921</v>
      </c>
      <c r="E92">
        <v>369.99999999999994</v>
      </c>
    </row>
    <row r="93" spans="1:5" x14ac:dyDescent="0.35">
      <c r="A93" s="1" t="s">
        <v>91</v>
      </c>
      <c r="B93">
        <v>15587.663409477718</v>
      </c>
      <c r="C93">
        <v>3732978.3040991998</v>
      </c>
      <c r="D93">
        <v>2347539.6701020659</v>
      </c>
    </row>
    <row r="94" spans="1:5" x14ac:dyDescent="0.35">
      <c r="A94" s="1" t="s">
        <v>92</v>
      </c>
      <c r="B94">
        <v>46295.583295752804</v>
      </c>
      <c r="C94">
        <v>8380024.4405280007</v>
      </c>
      <c r="D94">
        <v>6908973.3879145784</v>
      </c>
      <c r="E94">
        <v>420.00000000000006</v>
      </c>
    </row>
    <row r="95" spans="1:5" x14ac:dyDescent="0.35">
      <c r="A95" s="1" t="s">
        <v>93</v>
      </c>
      <c r="B95">
        <v>34232.993794750466</v>
      </c>
      <c r="C95">
        <v>5614672.1752575999</v>
      </c>
      <c r="D95">
        <v>5102860.5112576</v>
      </c>
      <c r="E95">
        <v>350.00000000000006</v>
      </c>
    </row>
    <row r="96" spans="1:5" x14ac:dyDescent="0.35">
      <c r="A96" s="1" t="s">
        <v>94</v>
      </c>
      <c r="B96">
        <v>5644.7579505667718</v>
      </c>
      <c r="C96">
        <v>1198421.6251488002</v>
      </c>
      <c r="D96">
        <v>797403.3058082487</v>
      </c>
      <c r="E96">
        <v>350</v>
      </c>
    </row>
    <row r="97" spans="1:5" x14ac:dyDescent="0.35">
      <c r="A97" s="1" t="s">
        <v>95</v>
      </c>
      <c r="B97">
        <v>6211.3195437729273</v>
      </c>
      <c r="C97">
        <v>2737217.6373151997</v>
      </c>
      <c r="D97">
        <v>857126.43731519987</v>
      </c>
      <c r="E97">
        <v>520</v>
      </c>
    </row>
    <row r="98" spans="1:5" x14ac:dyDescent="0.35">
      <c r="A98" s="1" t="s">
        <v>96</v>
      </c>
      <c r="B98">
        <v>11256.614774503423</v>
      </c>
      <c r="C98">
        <v>2475353.3865216002</v>
      </c>
      <c r="D98">
        <v>1650092.5865215999</v>
      </c>
      <c r="E98">
        <v>300</v>
      </c>
    </row>
    <row r="99" spans="1:5" x14ac:dyDescent="0.35">
      <c r="A99" s="1" t="s">
        <v>97</v>
      </c>
      <c r="B99">
        <v>14944.423082085123</v>
      </c>
      <c r="C99">
        <v>5102636.0738079995</v>
      </c>
      <c r="D99">
        <v>2172352.8738080002</v>
      </c>
      <c r="E99">
        <v>520</v>
      </c>
    </row>
    <row r="100" spans="1:5" x14ac:dyDescent="0.35">
      <c r="A100" s="1" t="s">
        <v>98</v>
      </c>
      <c r="B100">
        <v>21381.884882206592</v>
      </c>
      <c r="C100">
        <v>6036097.8504528003</v>
      </c>
      <c r="D100">
        <v>3104199.5304528</v>
      </c>
      <c r="E100">
        <v>770</v>
      </c>
    </row>
    <row r="101" spans="1:5" x14ac:dyDescent="0.35">
      <c r="A101" s="1" t="s">
        <v>99</v>
      </c>
      <c r="B101">
        <v>17204.506158703716</v>
      </c>
      <c r="C101">
        <v>4786947.5924608</v>
      </c>
      <c r="D101">
        <v>2521762.9757083911</v>
      </c>
      <c r="E101">
        <v>460</v>
      </c>
    </row>
    <row r="102" spans="1:5" x14ac:dyDescent="0.35">
      <c r="A102" s="1" t="s">
        <v>100</v>
      </c>
      <c r="B102">
        <v>15019.372754111231</v>
      </c>
      <c r="C102">
        <v>3518702.2080287999</v>
      </c>
      <c r="D102">
        <v>2261953.7280287999</v>
      </c>
    </row>
    <row r="103" spans="1:5" x14ac:dyDescent="0.35">
      <c r="A103" s="1" t="s">
        <v>101</v>
      </c>
      <c r="B103">
        <v>5505.3696613731163</v>
      </c>
      <c r="C103">
        <v>1474588.9830048</v>
      </c>
      <c r="D103">
        <v>758338.80442366214</v>
      </c>
      <c r="E103">
        <v>470</v>
      </c>
    </row>
    <row r="104" spans="1:5" x14ac:dyDescent="0.35">
      <c r="A104" s="1" t="s">
        <v>102</v>
      </c>
      <c r="B104">
        <v>8528.6367221698565</v>
      </c>
      <c r="C104">
        <v>1511900.8962304001</v>
      </c>
      <c r="D104">
        <v>1267866.9762304001</v>
      </c>
      <c r="E104">
        <v>110</v>
      </c>
    </row>
    <row r="105" spans="1:5" x14ac:dyDescent="0.35">
      <c r="A105" s="1" t="s">
        <v>103</v>
      </c>
      <c r="B105">
        <v>36481.31983004928</v>
      </c>
      <c r="C105">
        <v>8804993.6611519996</v>
      </c>
      <c r="D105">
        <v>5430921.6611519996</v>
      </c>
      <c r="E105">
        <v>420.00000000000006</v>
      </c>
    </row>
    <row r="106" spans="1:5" x14ac:dyDescent="0.35">
      <c r="A106" s="1" t="s">
        <v>104</v>
      </c>
      <c r="B106">
        <v>3306.015811330934</v>
      </c>
      <c r="C106">
        <v>631664.74974719994</v>
      </c>
      <c r="D106">
        <v>445183.10411610449</v>
      </c>
      <c r="E106">
        <v>350.00000000000006</v>
      </c>
    </row>
    <row r="107" spans="1:5" x14ac:dyDescent="0.35">
      <c r="A107" s="1" t="s">
        <v>105</v>
      </c>
      <c r="B107">
        <v>9908.7634035404681</v>
      </c>
      <c r="C107">
        <v>3016422.4891008004</v>
      </c>
      <c r="D107">
        <v>1430536.6571597089</v>
      </c>
      <c r="E107">
        <v>410</v>
      </c>
    </row>
    <row r="108" spans="1:5" x14ac:dyDescent="0.35">
      <c r="A108" s="1" t="s">
        <v>106</v>
      </c>
      <c r="B108">
        <v>5834.3765740198405</v>
      </c>
      <c r="C108">
        <v>1273034.278256</v>
      </c>
      <c r="D108">
        <v>807888.03825600003</v>
      </c>
      <c r="E108">
        <v>470.00000000000006</v>
      </c>
    </row>
    <row r="109" spans="1:5" x14ac:dyDescent="0.35">
      <c r="A109" s="1" t="s">
        <v>107</v>
      </c>
      <c r="B109">
        <v>24307.783644547158</v>
      </c>
      <c r="C109">
        <v>9586004.5738912001</v>
      </c>
      <c r="D109">
        <v>3600569.8259860179</v>
      </c>
      <c r="E109">
        <v>400</v>
      </c>
    </row>
    <row r="110" spans="1:5" x14ac:dyDescent="0.35">
      <c r="A110" s="1" t="s">
        <v>108</v>
      </c>
      <c r="B110">
        <v>25009.870299731683</v>
      </c>
      <c r="C110">
        <v>4233161.7063840004</v>
      </c>
      <c r="D110">
        <v>3748474.442730675</v>
      </c>
      <c r="E110">
        <v>120</v>
      </c>
    </row>
    <row r="111" spans="1:5" x14ac:dyDescent="0.35">
      <c r="A111" s="1" t="s">
        <v>109</v>
      </c>
      <c r="B111">
        <v>19907.400422806397</v>
      </c>
      <c r="C111">
        <v>8306789.8994079996</v>
      </c>
      <c r="D111">
        <v>2876114.5215069875</v>
      </c>
      <c r="E111">
        <v>810</v>
      </c>
    </row>
    <row r="112" spans="1:5" x14ac:dyDescent="0.35">
      <c r="A112" s="1" t="s">
        <v>110</v>
      </c>
      <c r="B112">
        <v>95008.350350100867</v>
      </c>
      <c r="C112">
        <v>22389171.055617601</v>
      </c>
      <c r="D112">
        <v>14263305.775617599</v>
      </c>
      <c r="E112">
        <v>300</v>
      </c>
    </row>
    <row r="113" spans="1:5" x14ac:dyDescent="0.35">
      <c r="A113" s="1" t="s">
        <v>111</v>
      </c>
      <c r="B113">
        <v>17369.763238700547</v>
      </c>
      <c r="C113">
        <v>2921967.3311296031</v>
      </c>
      <c r="D113">
        <v>2561711.3311296003</v>
      </c>
      <c r="E113">
        <v>359.99999999999994</v>
      </c>
    </row>
    <row r="114" spans="1:5" x14ac:dyDescent="0.35">
      <c r="A114" s="1" t="s">
        <v>112</v>
      </c>
      <c r="B114">
        <v>6102.0167328946764</v>
      </c>
      <c r="C114">
        <v>1518135.1173039996</v>
      </c>
      <c r="D114">
        <v>900906.13447208982</v>
      </c>
      <c r="E114">
        <v>120</v>
      </c>
    </row>
    <row r="115" spans="1:5" x14ac:dyDescent="0.35">
      <c r="A115" s="1" t="s">
        <v>113</v>
      </c>
      <c r="B115">
        <v>28580.676187565961</v>
      </c>
      <c r="C115">
        <v>12997453.5149056</v>
      </c>
      <c r="D115">
        <v>4233535.5704165604</v>
      </c>
      <c r="E115">
        <v>470</v>
      </c>
    </row>
    <row r="116" spans="1:5" x14ac:dyDescent="0.35">
      <c r="A116" s="1" t="s">
        <v>114</v>
      </c>
      <c r="B116">
        <v>40093.734293548136</v>
      </c>
      <c r="C116">
        <v>6807811.1164960004</v>
      </c>
      <c r="D116">
        <v>6038212.9960162854</v>
      </c>
    </row>
    <row r="117" spans="1:5" x14ac:dyDescent="0.35">
      <c r="A117" s="1" t="s">
        <v>115</v>
      </c>
      <c r="B117">
        <v>55460.153483212089</v>
      </c>
      <c r="C117">
        <v>8587630.4560384005</v>
      </c>
      <c r="D117">
        <v>8344902.6330138687</v>
      </c>
      <c r="E117">
        <v>49.999999999999993</v>
      </c>
    </row>
    <row r="118" spans="1:5" x14ac:dyDescent="0.35">
      <c r="A118" s="1" t="s">
        <v>116</v>
      </c>
      <c r="B118">
        <v>11575.169085027328</v>
      </c>
      <c r="C118">
        <v>3085863.1802751999</v>
      </c>
      <c r="D118">
        <v>1619754.3802752001</v>
      </c>
      <c r="E118">
        <v>820</v>
      </c>
    </row>
    <row r="119" spans="1:5" x14ac:dyDescent="0.35">
      <c r="A119" s="1" t="s">
        <v>117</v>
      </c>
      <c r="B119">
        <v>11059.94748535488</v>
      </c>
      <c r="C119">
        <v>2519161.3171919994</v>
      </c>
      <c r="D119">
        <v>1656618.5971919999</v>
      </c>
      <c r="E119">
        <v>60</v>
      </c>
    </row>
    <row r="120" spans="1:5" x14ac:dyDescent="0.35">
      <c r="A120" s="1" t="s">
        <v>118</v>
      </c>
      <c r="B120">
        <v>36895.90049311133</v>
      </c>
      <c r="C120">
        <v>12653561.692886399</v>
      </c>
      <c r="D120">
        <v>5451189.8332998995</v>
      </c>
      <c r="E120">
        <v>700</v>
      </c>
    </row>
    <row r="121" spans="1:5" x14ac:dyDescent="0.35">
      <c r="A121" s="1" t="s">
        <v>119</v>
      </c>
      <c r="B121">
        <v>16171.66298589184</v>
      </c>
      <c r="C121">
        <v>3569049.293056</v>
      </c>
      <c r="D121">
        <v>2427961.293056</v>
      </c>
      <c r="E121">
        <v>50</v>
      </c>
    </row>
    <row r="122" spans="1:5" x14ac:dyDescent="0.35">
      <c r="A122" s="1" t="s">
        <v>120</v>
      </c>
      <c r="B122">
        <v>18298.08859015983</v>
      </c>
      <c r="C122">
        <v>4007624.5299583999</v>
      </c>
      <c r="D122">
        <v>2754230.20936142</v>
      </c>
      <c r="E122">
        <v>10</v>
      </c>
    </row>
    <row r="123" spans="1:5" x14ac:dyDescent="0.35">
      <c r="A123" s="1" t="s">
        <v>121</v>
      </c>
      <c r="B123">
        <v>109523.65005408283</v>
      </c>
      <c r="C123">
        <v>17390886.945494398</v>
      </c>
      <c r="D123">
        <v>16477959.345494401</v>
      </c>
      <c r="E123">
        <v>110</v>
      </c>
    </row>
    <row r="124" spans="1:5" x14ac:dyDescent="0.35">
      <c r="A124" s="1" t="s">
        <v>122</v>
      </c>
      <c r="B124">
        <v>22814.133064832</v>
      </c>
      <c r="C124">
        <v>5430553.6688000001</v>
      </c>
      <c r="D124">
        <v>3426827.2687999997</v>
      </c>
      <c r="E124">
        <v>60</v>
      </c>
    </row>
    <row r="125" spans="1:5" x14ac:dyDescent="0.35">
      <c r="A125" s="1" t="s">
        <v>123</v>
      </c>
      <c r="B125">
        <v>31774.796914898208</v>
      </c>
      <c r="C125">
        <v>8985028.905216001</v>
      </c>
      <c r="D125">
        <v>4669397.125737682</v>
      </c>
      <c r="E125">
        <v>770</v>
      </c>
    </row>
    <row r="126" spans="1:5" x14ac:dyDescent="0.35">
      <c r="A126" s="1" t="s">
        <v>124</v>
      </c>
      <c r="B126">
        <v>21048.424822776266</v>
      </c>
      <c r="C126">
        <v>9160502.1835392006</v>
      </c>
      <c r="D126">
        <v>3108196.5094542569</v>
      </c>
      <c r="E126">
        <v>410</v>
      </c>
    </row>
    <row r="127" spans="1:5" x14ac:dyDescent="0.35">
      <c r="A127" s="1" t="s">
        <v>125</v>
      </c>
      <c r="B127">
        <v>37246.915039160318</v>
      </c>
      <c r="C127">
        <v>11587726.703488</v>
      </c>
      <c r="D127">
        <v>5531161.9034879999</v>
      </c>
      <c r="E127">
        <v>520</v>
      </c>
    </row>
    <row r="128" spans="1:5" x14ac:dyDescent="0.35">
      <c r="A128" s="1" t="s">
        <v>126</v>
      </c>
      <c r="B128">
        <v>21080.32244051584</v>
      </c>
      <c r="C128">
        <v>3943468.4446559995</v>
      </c>
      <c r="D128">
        <v>3067819.6446560002</v>
      </c>
      <c r="E128">
        <v>710</v>
      </c>
    </row>
    <row r="129" spans="1:5" x14ac:dyDescent="0.35">
      <c r="A129" s="1" t="s">
        <v>127</v>
      </c>
      <c r="B129">
        <v>8736.8368837478392</v>
      </c>
      <c r="C129">
        <v>2347131.723456</v>
      </c>
      <c r="D129">
        <v>1255547.723456</v>
      </c>
      <c r="E129">
        <v>400</v>
      </c>
    </row>
    <row r="130" spans="1:5" x14ac:dyDescent="0.35">
      <c r="A130" s="1" t="s">
        <v>128</v>
      </c>
      <c r="B130">
        <v>76100.178673239046</v>
      </c>
      <c r="C130">
        <v>18557946.137535997</v>
      </c>
      <c r="D130">
        <v>11451834.137536</v>
      </c>
      <c r="E130">
        <v>60</v>
      </c>
    </row>
    <row r="131" spans="1:5" x14ac:dyDescent="0.35">
      <c r="A131" s="1" t="s">
        <v>129</v>
      </c>
      <c r="B131">
        <v>18562.822062144151</v>
      </c>
      <c r="C131">
        <v>9454394.7217823993</v>
      </c>
      <c r="D131">
        <v>2724822.5997205046</v>
      </c>
      <c r="E131">
        <v>469.99999999999932</v>
      </c>
    </row>
    <row r="132" spans="1:5" x14ac:dyDescent="0.35">
      <c r="A132" s="1" t="s">
        <v>130</v>
      </c>
      <c r="B132">
        <v>17549.085070174748</v>
      </c>
      <c r="C132">
        <v>3920148.3187776003</v>
      </c>
      <c r="D132">
        <v>2632392.3298455947</v>
      </c>
      <c r="E132">
        <v>70</v>
      </c>
    </row>
    <row r="133" spans="1:5" x14ac:dyDescent="0.35">
      <c r="A133" s="1" t="s">
        <v>131</v>
      </c>
      <c r="B133">
        <v>8595.4606876465932</v>
      </c>
      <c r="C133">
        <v>2040959.0664528001</v>
      </c>
      <c r="D133">
        <v>1277930.8264528001</v>
      </c>
      <c r="E133">
        <v>110</v>
      </c>
    </row>
    <row r="134" spans="1:5" x14ac:dyDescent="0.35">
      <c r="A134" s="1" t="s">
        <v>132</v>
      </c>
      <c r="B134">
        <v>31783.598493401656</v>
      </c>
      <c r="C134">
        <v>14354667.490383999</v>
      </c>
      <c r="D134">
        <v>4664698.5682833819</v>
      </c>
      <c r="E134">
        <v>810</v>
      </c>
    </row>
    <row r="135" spans="1:5" x14ac:dyDescent="0.35">
      <c r="A135" s="1" t="s">
        <v>133</v>
      </c>
      <c r="B135">
        <v>58671.00096912586</v>
      </c>
      <c r="C135">
        <v>19000948.161728002</v>
      </c>
      <c r="D135">
        <v>8766717.0134225693</v>
      </c>
      <c r="E135">
        <v>460</v>
      </c>
    </row>
    <row r="136" spans="1:5" x14ac:dyDescent="0.35">
      <c r="A136" s="1" t="s">
        <v>134</v>
      </c>
      <c r="B136">
        <v>13698.690440972523</v>
      </c>
      <c r="C136">
        <v>2138767.1338799968</v>
      </c>
      <c r="D136">
        <v>2063055.7893030909</v>
      </c>
    </row>
    <row r="137" spans="1:5" x14ac:dyDescent="0.35">
      <c r="A137" s="1" t="s">
        <v>135</v>
      </c>
      <c r="B137">
        <v>4531.3085622010076</v>
      </c>
      <c r="C137">
        <v>1014859.8124288002</v>
      </c>
      <c r="D137">
        <v>567968.15695798316</v>
      </c>
      <c r="E137">
        <v>760</v>
      </c>
    </row>
    <row r="138" spans="1:5" x14ac:dyDescent="0.35">
      <c r="A138" s="1" t="s">
        <v>136</v>
      </c>
      <c r="B138">
        <v>20115.280927870343</v>
      </c>
      <c r="C138">
        <v>5514157.0635423996</v>
      </c>
      <c r="D138">
        <v>2951096.525281678</v>
      </c>
      <c r="E138">
        <v>520</v>
      </c>
    </row>
    <row r="139" spans="1:5" x14ac:dyDescent="0.35">
      <c r="A139" s="1" t="s">
        <v>137</v>
      </c>
      <c r="B139">
        <v>12925.623874038527</v>
      </c>
      <c r="C139">
        <v>2205794.7723552007</v>
      </c>
      <c r="D139">
        <v>1928557.8123551998</v>
      </c>
      <c r="E139">
        <v>120.00000000000003</v>
      </c>
    </row>
    <row r="140" spans="1:5" x14ac:dyDescent="0.35">
      <c r="A140" s="1" t="s">
        <v>138</v>
      </c>
      <c r="B140">
        <v>12256.367560960001</v>
      </c>
      <c r="C140">
        <v>2665772.304</v>
      </c>
      <c r="D140">
        <v>1844332.4640000002</v>
      </c>
      <c r="E140">
        <v>10</v>
      </c>
    </row>
    <row r="141" spans="1:5" x14ac:dyDescent="0.35">
      <c r="A141" s="1" t="s">
        <v>139</v>
      </c>
      <c r="B141">
        <v>18229.124035913934</v>
      </c>
      <c r="C141">
        <v>9467368.9591935985</v>
      </c>
      <c r="D141">
        <v>2676072.8969749901</v>
      </c>
      <c r="E141">
        <v>460.0000000000004</v>
      </c>
    </row>
    <row r="142" spans="1:5" x14ac:dyDescent="0.35">
      <c r="A142" s="1" t="s">
        <v>140</v>
      </c>
      <c r="B142">
        <v>3455.0333478548478</v>
      </c>
      <c r="C142">
        <v>837461.87624320015</v>
      </c>
      <c r="D142">
        <v>405878.51624319999</v>
      </c>
      <c r="E142">
        <v>760</v>
      </c>
    </row>
    <row r="143" spans="1:5" x14ac:dyDescent="0.35">
      <c r="A143" s="1" t="s">
        <v>141</v>
      </c>
      <c r="B143">
        <v>13630.909900231254</v>
      </c>
      <c r="C143">
        <v>5046518.9718527999</v>
      </c>
      <c r="D143">
        <v>1929353.9006372371</v>
      </c>
      <c r="E143">
        <v>820</v>
      </c>
    </row>
    <row r="144" spans="1:5" x14ac:dyDescent="0.35">
      <c r="A144" s="1" t="s">
        <v>142</v>
      </c>
      <c r="B144">
        <v>57702.035424199748</v>
      </c>
      <c r="C144">
        <v>13784984.091174401</v>
      </c>
      <c r="D144">
        <v>8637354.7325602025</v>
      </c>
      <c r="E144">
        <v>350</v>
      </c>
    </row>
    <row r="145" spans="1:5" x14ac:dyDescent="0.35">
      <c r="A145" s="1" t="s">
        <v>143</v>
      </c>
      <c r="B145">
        <v>5347.9701221712958</v>
      </c>
      <c r="C145">
        <v>1281497.5812287983</v>
      </c>
      <c r="D145">
        <v>796381.04249567713</v>
      </c>
      <c r="E145">
        <v>60</v>
      </c>
    </row>
    <row r="146" spans="1:5" x14ac:dyDescent="0.35">
      <c r="A146" s="1" t="s">
        <v>144</v>
      </c>
      <c r="B146">
        <v>15161.916332486964</v>
      </c>
      <c r="C146">
        <v>3566812.8167776</v>
      </c>
      <c r="D146">
        <v>2265348.8452540608</v>
      </c>
      <c r="E146">
        <v>119.99999999999997</v>
      </c>
    </row>
    <row r="147" spans="1:5" x14ac:dyDescent="0.35">
      <c r="A147" s="1" t="s">
        <v>145</v>
      </c>
      <c r="B147">
        <v>24933.318774984702</v>
      </c>
      <c r="C147">
        <v>8152903.7364736013</v>
      </c>
      <c r="D147">
        <v>3640560.0564735997</v>
      </c>
      <c r="E147">
        <v>760</v>
      </c>
    </row>
    <row r="148" spans="1:5" x14ac:dyDescent="0.35">
      <c r="A148" s="1" t="s">
        <v>146</v>
      </c>
      <c r="B148">
        <v>28199.603658098174</v>
      </c>
      <c r="C148">
        <v>6958398.7499519996</v>
      </c>
      <c r="D148">
        <v>4176145.1292316527</v>
      </c>
      <c r="E148">
        <v>470</v>
      </c>
    </row>
    <row r="149" spans="1:5" x14ac:dyDescent="0.35">
      <c r="A149" s="1" t="s">
        <v>147</v>
      </c>
      <c r="B149">
        <v>6623.9433615746557</v>
      </c>
      <c r="C149">
        <v>1669441.378550401</v>
      </c>
      <c r="D149">
        <v>919268.57855039998</v>
      </c>
      <c r="E149">
        <v>520</v>
      </c>
    </row>
    <row r="150" spans="1:5" x14ac:dyDescent="0.35">
      <c r="A150" s="1" t="s">
        <v>148</v>
      </c>
      <c r="B150">
        <v>8863.7477268085768</v>
      </c>
      <c r="C150">
        <v>2435703.3822784</v>
      </c>
      <c r="D150">
        <v>1212913.8142784</v>
      </c>
      <c r="E150">
        <v>810</v>
      </c>
    </row>
    <row r="151" spans="1:5" x14ac:dyDescent="0.35">
      <c r="A151" s="1" t="s">
        <v>149</v>
      </c>
      <c r="B151">
        <v>68393.407302259962</v>
      </c>
      <c r="C151">
        <v>10934353.918051198</v>
      </c>
      <c r="D151">
        <v>10283645.6780512</v>
      </c>
      <c r="E151">
        <v>110</v>
      </c>
    </row>
    <row r="152" spans="1:5" x14ac:dyDescent="0.35">
      <c r="A152" s="1" t="s">
        <v>150</v>
      </c>
      <c r="B152">
        <v>40248.933750553559</v>
      </c>
      <c r="C152">
        <v>9975380.1952895988</v>
      </c>
      <c r="D152">
        <v>6054056.2877339693</v>
      </c>
      <c r="E152">
        <v>50</v>
      </c>
    </row>
    <row r="153" spans="1:5" x14ac:dyDescent="0.35">
      <c r="A153" s="1" t="s">
        <v>151</v>
      </c>
      <c r="B153">
        <v>56907.349647201278</v>
      </c>
      <c r="C153">
        <v>12339136.917951999</v>
      </c>
      <c r="D153">
        <v>8553817.717952</v>
      </c>
      <c r="E153">
        <v>110</v>
      </c>
    </row>
    <row r="154" spans="1:5" x14ac:dyDescent="0.35">
      <c r="A154" s="1" t="s">
        <v>152</v>
      </c>
      <c r="B154">
        <v>17125.991519392424</v>
      </c>
      <c r="C154">
        <v>8914119.6457663998</v>
      </c>
      <c r="D154">
        <v>2457227.6384627144</v>
      </c>
      <c r="E154">
        <v>810</v>
      </c>
    </row>
    <row r="155" spans="1:5" x14ac:dyDescent="0.35">
      <c r="A155" s="1" t="s">
        <v>153</v>
      </c>
      <c r="B155">
        <v>18192.77657432832</v>
      </c>
      <c r="C155">
        <v>5337168.1346880002</v>
      </c>
      <c r="D155">
        <v>2623912.1346880002</v>
      </c>
      <c r="E155">
        <v>770</v>
      </c>
    </row>
    <row r="156" spans="1:5" x14ac:dyDescent="0.35">
      <c r="A156" s="1" t="s">
        <v>154</v>
      </c>
      <c r="B156">
        <v>2638.2884537185505</v>
      </c>
      <c r="C156">
        <v>691838.84719039872</v>
      </c>
      <c r="D156">
        <v>343115.73098170955</v>
      </c>
      <c r="E156">
        <v>359.9999999999992</v>
      </c>
    </row>
    <row r="157" spans="1:5" x14ac:dyDescent="0.35">
      <c r="A157" s="1" t="s">
        <v>155</v>
      </c>
      <c r="B157">
        <v>17986.187982673426</v>
      </c>
      <c r="C157">
        <v>4881875.178211201</v>
      </c>
      <c r="D157">
        <v>2645510.2383544315</v>
      </c>
      <c r="E157">
        <v>420</v>
      </c>
    </row>
    <row r="158" spans="1:5" x14ac:dyDescent="0.35">
      <c r="A158" s="1" t="s">
        <v>156</v>
      </c>
      <c r="B158">
        <v>43748.823281126148</v>
      </c>
      <c r="C158">
        <v>10896130.986</v>
      </c>
      <c r="D158">
        <v>6526931.2170370705</v>
      </c>
      <c r="E158">
        <v>410</v>
      </c>
    </row>
    <row r="159" spans="1:5" x14ac:dyDescent="0.35">
      <c r="A159" s="1" t="s">
        <v>157</v>
      </c>
      <c r="B159">
        <v>6897.6317886707202</v>
      </c>
      <c r="C159">
        <v>2369659.6728480011</v>
      </c>
      <c r="D159">
        <v>924342.13684799999</v>
      </c>
      <c r="E159">
        <v>760</v>
      </c>
    </row>
    <row r="160" spans="1:5" x14ac:dyDescent="0.35">
      <c r="A160" s="1" t="s">
        <v>158</v>
      </c>
      <c r="B160">
        <v>22837.331085495807</v>
      </c>
      <c r="C160">
        <v>3688353.3707071999</v>
      </c>
      <c r="D160">
        <v>3431826.9707072</v>
      </c>
      <c r="E160">
        <v>50</v>
      </c>
    </row>
    <row r="161" spans="1:5" x14ac:dyDescent="0.35">
      <c r="A161" s="1" t="s">
        <v>159</v>
      </c>
      <c r="B161">
        <v>22846.483138720945</v>
      </c>
      <c r="C161">
        <v>10264064.315356798</v>
      </c>
      <c r="D161">
        <v>3362422.1594459256</v>
      </c>
      <c r="E161">
        <v>520</v>
      </c>
    </row>
    <row r="162" spans="1:5" x14ac:dyDescent="0.35">
      <c r="A162" s="1" t="s">
        <v>160</v>
      </c>
      <c r="B162">
        <v>6018.9916229552646</v>
      </c>
      <c r="C162">
        <v>1618366.4935775995</v>
      </c>
      <c r="D162">
        <v>837197.53357760003</v>
      </c>
      <c r="E162">
        <v>460</v>
      </c>
    </row>
    <row r="163" spans="1:5" x14ac:dyDescent="0.35">
      <c r="A163" s="1" t="s">
        <v>161</v>
      </c>
      <c r="B163">
        <v>25138.895943098625</v>
      </c>
      <c r="C163">
        <v>3889228.9842015998</v>
      </c>
      <c r="D163">
        <v>3778448.1842016</v>
      </c>
      <c r="E163">
        <v>50</v>
      </c>
    </row>
    <row r="164" spans="1:5" x14ac:dyDescent="0.35">
      <c r="A164" s="1" t="s">
        <v>162</v>
      </c>
      <c r="B164">
        <v>14836.986558565373</v>
      </c>
      <c r="C164">
        <v>3332667.5833984003</v>
      </c>
      <c r="D164">
        <v>2232979.9033983997</v>
      </c>
      <c r="E164">
        <v>10</v>
      </c>
    </row>
    <row r="165" spans="1:5" x14ac:dyDescent="0.35">
      <c r="A165" s="1" t="s">
        <v>163</v>
      </c>
      <c r="B165">
        <v>11372.358247127553</v>
      </c>
      <c r="C165">
        <v>2616043.4559168001</v>
      </c>
      <c r="D165">
        <v>1659993.7119168001</v>
      </c>
      <c r="E165">
        <v>350.00000000000006</v>
      </c>
    </row>
    <row r="166" spans="1:5" x14ac:dyDescent="0.35">
      <c r="A166" s="1" t="s">
        <v>164</v>
      </c>
      <c r="B166">
        <v>2119.8716995480995</v>
      </c>
      <c r="C166">
        <v>412627.55233439989</v>
      </c>
      <c r="D166">
        <v>317751.76198013546</v>
      </c>
      <c r="E166">
        <v>10.000000000000002</v>
      </c>
    </row>
    <row r="167" spans="1:5" x14ac:dyDescent="0.35">
      <c r="A167" s="1" t="s">
        <v>165</v>
      </c>
      <c r="B167">
        <v>2523.6072492635317</v>
      </c>
      <c r="C167">
        <v>652393.86754880007</v>
      </c>
      <c r="D167">
        <v>369519.16404571262</v>
      </c>
      <c r="E167">
        <v>70</v>
      </c>
    </row>
    <row r="168" spans="1:5" x14ac:dyDescent="0.35">
      <c r="A168" s="1" t="s">
        <v>166</v>
      </c>
      <c r="B168">
        <v>7676.5497864674562</v>
      </c>
      <c r="C168">
        <v>1190018.6950703999</v>
      </c>
      <c r="D168">
        <v>1148576.7750704</v>
      </c>
      <c r="E168">
        <v>50</v>
      </c>
    </row>
    <row r="169" spans="1:5" x14ac:dyDescent="0.35">
      <c r="A169" s="1" t="s">
        <v>167</v>
      </c>
      <c r="B169">
        <v>4654.2199181086717</v>
      </c>
      <c r="C169">
        <v>1745262.4021247998</v>
      </c>
      <c r="D169">
        <v>630153.60212479997</v>
      </c>
      <c r="E169">
        <v>470</v>
      </c>
    </row>
    <row r="170" spans="1:5" x14ac:dyDescent="0.35">
      <c r="A170" s="1" t="s">
        <v>168</v>
      </c>
      <c r="B170">
        <v>3127.1339222046718</v>
      </c>
      <c r="C170">
        <v>804723.48852479993</v>
      </c>
      <c r="D170">
        <v>354990.04852479999</v>
      </c>
      <c r="E170">
        <v>770</v>
      </c>
    </row>
    <row r="171" spans="1:5" x14ac:dyDescent="0.35">
      <c r="A171" s="1" t="s">
        <v>169</v>
      </c>
      <c r="B171">
        <v>10515.202829572096</v>
      </c>
      <c r="C171">
        <v>2685308.0926464</v>
      </c>
      <c r="D171">
        <v>1469157.0526463999</v>
      </c>
      <c r="E171">
        <v>760</v>
      </c>
    </row>
    <row r="172" spans="1:5" x14ac:dyDescent="0.35">
      <c r="A172" s="1" t="s">
        <v>170</v>
      </c>
      <c r="B172">
        <v>20361.832243314228</v>
      </c>
      <c r="C172">
        <v>3790864.0105439997</v>
      </c>
      <c r="D172">
        <v>3003287.9884509379</v>
      </c>
      <c r="E172">
        <v>420.00000000000006</v>
      </c>
    </row>
    <row r="173" spans="1:5" x14ac:dyDescent="0.35">
      <c r="A173" s="1" t="s">
        <v>171</v>
      </c>
      <c r="B173">
        <v>4603.8116870968324</v>
      </c>
      <c r="C173">
        <v>1329117.2010687999</v>
      </c>
      <c r="D173">
        <v>622562.00106880011</v>
      </c>
      <c r="E173">
        <v>470.00000000000006</v>
      </c>
    </row>
    <row r="174" spans="1:5" x14ac:dyDescent="0.35">
      <c r="A174" s="1" t="s">
        <v>172</v>
      </c>
      <c r="B174">
        <v>15755.278952103885</v>
      </c>
      <c r="C174">
        <v>2868833.5424319999</v>
      </c>
      <c r="D174">
        <v>2356216.7096541994</v>
      </c>
      <c r="E174">
        <v>110</v>
      </c>
    </row>
    <row r="175" spans="1:5" x14ac:dyDescent="0.35">
      <c r="A175" s="1" t="s">
        <v>173</v>
      </c>
      <c r="B175">
        <v>6636.2375397193437</v>
      </c>
      <c r="C175">
        <v>1856423.8896736</v>
      </c>
      <c r="D175">
        <v>939192.40056014212</v>
      </c>
      <c r="E175">
        <v>400</v>
      </c>
    </row>
    <row r="176" spans="1:5" x14ac:dyDescent="0.35">
      <c r="A176" s="1" t="s">
        <v>174</v>
      </c>
      <c r="B176">
        <v>16142.576001607829</v>
      </c>
      <c r="C176">
        <v>7783098.7098592008</v>
      </c>
      <c r="D176">
        <v>2354303.6146999742</v>
      </c>
      <c r="E176">
        <v>510</v>
      </c>
    </row>
    <row r="177" spans="1:5" x14ac:dyDescent="0.35">
      <c r="A177" s="1" t="s">
        <v>175</v>
      </c>
      <c r="B177">
        <v>6218.6516946805768</v>
      </c>
      <c r="C177">
        <v>1390866.7790783998</v>
      </c>
      <c r="D177">
        <v>829616.21907840006</v>
      </c>
      <c r="E177">
        <v>710</v>
      </c>
    </row>
    <row r="178" spans="1:5" x14ac:dyDescent="0.35">
      <c r="A178" s="1" t="s">
        <v>176</v>
      </c>
      <c r="B178">
        <v>23200.588947200002</v>
      </c>
      <c r="C178">
        <v>4883795.28</v>
      </c>
      <c r="D178">
        <v>3486534.48</v>
      </c>
      <c r="E178">
        <v>50.000000000000014</v>
      </c>
    </row>
    <row r="179" spans="1:5" x14ac:dyDescent="0.35">
      <c r="A179" s="1" t="s">
        <v>177</v>
      </c>
      <c r="B179">
        <v>28410.625652636161</v>
      </c>
      <c r="C179">
        <v>6019283.3621439999</v>
      </c>
      <c r="D179">
        <v>4271178.5621440001</v>
      </c>
      <c r="E179">
        <v>50</v>
      </c>
    </row>
    <row r="180" spans="1:5" x14ac:dyDescent="0.35">
      <c r="A180" s="1" t="s">
        <v>178</v>
      </c>
      <c r="B180">
        <v>23911.102525689235</v>
      </c>
      <c r="C180">
        <v>12326759.072700802</v>
      </c>
      <c r="D180">
        <v>3531792.5490495837</v>
      </c>
      <c r="E180">
        <v>460</v>
      </c>
    </row>
    <row r="181" spans="1:5" x14ac:dyDescent="0.35">
      <c r="A181" s="1" t="s">
        <v>179</v>
      </c>
      <c r="B181">
        <v>4906.8585476830731</v>
      </c>
      <c r="C181">
        <v>1501733.9982735999</v>
      </c>
      <c r="D181">
        <v>668201.58850648697</v>
      </c>
      <c r="E181">
        <v>470</v>
      </c>
    </row>
    <row r="182" spans="1:5" x14ac:dyDescent="0.35">
      <c r="A182" s="1" t="s">
        <v>180</v>
      </c>
      <c r="B182">
        <v>6132.355540932097</v>
      </c>
      <c r="C182">
        <v>1298104.9766464001</v>
      </c>
      <c r="D182">
        <v>914511.37664640008</v>
      </c>
      <c r="E182">
        <v>60</v>
      </c>
    </row>
    <row r="183" spans="1:5" x14ac:dyDescent="0.35">
      <c r="A183" s="1" t="s">
        <v>181</v>
      </c>
      <c r="B183">
        <v>53751.885281489667</v>
      </c>
      <c r="C183">
        <v>10176741.330537602</v>
      </c>
      <c r="D183">
        <v>8040946.5785376001</v>
      </c>
      <c r="E183">
        <v>360</v>
      </c>
    </row>
    <row r="184" spans="1:5" x14ac:dyDescent="0.35">
      <c r="A184" s="1" t="s">
        <v>182</v>
      </c>
      <c r="B184">
        <v>41428.08777941914</v>
      </c>
      <c r="C184">
        <v>13068994.297382399</v>
      </c>
      <c r="D184">
        <v>6162362.6173824007</v>
      </c>
      <c r="E184">
        <v>510.00000000000006</v>
      </c>
    </row>
    <row r="185" spans="1:5" x14ac:dyDescent="0.35">
      <c r="A185" s="1" t="s">
        <v>183</v>
      </c>
      <c r="B185">
        <v>63612.863140713052</v>
      </c>
      <c r="C185">
        <v>15152772.600784002</v>
      </c>
      <c r="D185">
        <v>9527539.6296254601</v>
      </c>
      <c r="E185">
        <v>350</v>
      </c>
    </row>
    <row r="186" spans="1:5" x14ac:dyDescent="0.35">
      <c r="A186" s="1" t="s">
        <v>184</v>
      </c>
      <c r="B186">
        <v>9219.9099912878319</v>
      </c>
      <c r="C186">
        <v>2222781.8918239996</v>
      </c>
      <c r="D186">
        <v>1332817.7697722639</v>
      </c>
      <c r="E186">
        <v>370</v>
      </c>
    </row>
    <row r="187" spans="1:5" x14ac:dyDescent="0.35">
      <c r="A187" s="1" t="s">
        <v>185</v>
      </c>
      <c r="B187">
        <v>4473.2054649479678</v>
      </c>
      <c r="C187">
        <v>789647.37725119991</v>
      </c>
      <c r="D187">
        <v>664639.37725120003</v>
      </c>
      <c r="E187">
        <v>60.000000000000028</v>
      </c>
    </row>
    <row r="188" spans="1:5" x14ac:dyDescent="0.35">
      <c r="A188" s="1" t="s">
        <v>186</v>
      </c>
      <c r="B188">
        <v>6080.3537087516161</v>
      </c>
      <c r="C188">
        <v>1400326.1754143999</v>
      </c>
      <c r="D188">
        <v>906679.77541440004</v>
      </c>
      <c r="E188">
        <v>60</v>
      </c>
    </row>
    <row r="189" spans="1:5" x14ac:dyDescent="0.35">
      <c r="A189" s="1" t="s">
        <v>187</v>
      </c>
      <c r="B189">
        <v>37287.414481366293</v>
      </c>
      <c r="C189">
        <v>12510222.592608001</v>
      </c>
      <c r="D189">
        <v>5537261.2170732366</v>
      </c>
      <c r="E189">
        <v>520</v>
      </c>
    </row>
    <row r="190" spans="1:5" x14ac:dyDescent="0.35">
      <c r="A190" s="1" t="s">
        <v>188</v>
      </c>
      <c r="B190">
        <v>2222.5036516697937</v>
      </c>
      <c r="C190">
        <v>364446.4044415988</v>
      </c>
      <c r="D190">
        <v>288027.65838400513</v>
      </c>
      <c r="E190">
        <v>309.99999999999937</v>
      </c>
    </row>
    <row r="191" spans="1:5" x14ac:dyDescent="0.35">
      <c r="A191" s="1" t="s">
        <v>189</v>
      </c>
      <c r="B191">
        <v>719.344691015168</v>
      </c>
      <c r="C191">
        <v>151890.13973119998</v>
      </c>
      <c r="D191">
        <v>106829.01973119999</v>
      </c>
      <c r="E191">
        <v>10</v>
      </c>
    </row>
    <row r="192" spans="1:5" x14ac:dyDescent="0.35">
      <c r="A192" s="1" t="s">
        <v>190</v>
      </c>
      <c r="B192">
        <v>1495.6494990577919</v>
      </c>
      <c r="C192">
        <v>257091.13853280002</v>
      </c>
      <c r="D192">
        <v>225248.41853279999</v>
      </c>
    </row>
    <row r="193" spans="1:5" x14ac:dyDescent="0.35">
      <c r="A193" s="1" t="s">
        <v>191</v>
      </c>
      <c r="B193">
        <v>21365.590723641344</v>
      </c>
      <c r="C193">
        <v>3318025.2458496001</v>
      </c>
      <c r="D193">
        <v>3210179.3258496001</v>
      </c>
      <c r="E193">
        <v>50</v>
      </c>
    </row>
    <row r="194" spans="1:5" x14ac:dyDescent="0.35">
      <c r="A194" s="1" t="s">
        <v>192</v>
      </c>
      <c r="B194">
        <v>39512.000685050109</v>
      </c>
      <c r="C194">
        <v>9331456.2458207998</v>
      </c>
      <c r="D194">
        <v>5903915.7658207994</v>
      </c>
      <c r="E194">
        <v>310</v>
      </c>
    </row>
    <row r="195" spans="1:5" x14ac:dyDescent="0.35">
      <c r="A195" s="1" t="s">
        <v>193</v>
      </c>
      <c r="B195">
        <v>32342.896927057918</v>
      </c>
      <c r="C195">
        <v>6790453.9073280003</v>
      </c>
      <c r="D195">
        <v>4861882.0673279995</v>
      </c>
      <c r="E195">
        <v>60</v>
      </c>
    </row>
    <row r="196" spans="1:5" x14ac:dyDescent="0.35">
      <c r="A196" s="1" t="s">
        <v>194</v>
      </c>
      <c r="B196">
        <v>10295.095909254669</v>
      </c>
      <c r="C196">
        <v>3951821.9547456005</v>
      </c>
      <c r="D196">
        <v>1436008.4200684743</v>
      </c>
      <c r="E196">
        <v>760</v>
      </c>
    </row>
    <row r="197" spans="1:5" x14ac:dyDescent="0.35">
      <c r="A197" s="1" t="s">
        <v>195</v>
      </c>
      <c r="B197">
        <v>7980.781535097296</v>
      </c>
      <c r="C197">
        <v>1995244.9636704</v>
      </c>
      <c r="D197">
        <v>1156744.2070929662</v>
      </c>
      <c r="E197">
        <v>300</v>
      </c>
    </row>
    <row r="198" spans="1:5" x14ac:dyDescent="0.35">
      <c r="A198" s="1" t="s">
        <v>196</v>
      </c>
      <c r="B198">
        <v>19239.77843127232</v>
      </c>
      <c r="C198">
        <v>3939290.1492880001</v>
      </c>
      <c r="D198">
        <v>2844846.1492880001</v>
      </c>
      <c r="E198">
        <v>350</v>
      </c>
    </row>
    <row r="199" spans="1:5" x14ac:dyDescent="0.35">
      <c r="A199" s="1" t="s">
        <v>197</v>
      </c>
      <c r="B199">
        <v>6575.7337144874564</v>
      </c>
      <c r="C199">
        <v>1582431.2614656002</v>
      </c>
      <c r="D199">
        <v>979779.17386859283</v>
      </c>
      <c r="E199">
        <v>70</v>
      </c>
    </row>
    <row r="200" spans="1:5" x14ac:dyDescent="0.35">
      <c r="A200" s="1" t="s">
        <v>198</v>
      </c>
      <c r="B200">
        <v>20975.966455728259</v>
      </c>
      <c r="C200">
        <v>5885406.3747023996</v>
      </c>
      <c r="D200">
        <v>3089753.9842964248</v>
      </c>
      <c r="E200">
        <v>460</v>
      </c>
    </row>
    <row r="201" spans="1:5" x14ac:dyDescent="0.35">
      <c r="A201" s="1" t="s">
        <v>199</v>
      </c>
      <c r="B201">
        <v>5741.4419000940798</v>
      </c>
      <c r="C201">
        <v>1164669.7444720007</v>
      </c>
      <c r="D201">
        <v>857144.86447199993</v>
      </c>
      <c r="E201">
        <v>50</v>
      </c>
    </row>
    <row r="202" spans="1:5" x14ac:dyDescent="0.35">
      <c r="A202" s="1" t="s">
        <v>200</v>
      </c>
      <c r="B202">
        <v>11238.461030362423</v>
      </c>
      <c r="C202">
        <v>4695359.9460768001</v>
      </c>
      <c r="D202">
        <v>1623262.2033678349</v>
      </c>
      <c r="E202">
        <v>460</v>
      </c>
    </row>
    <row r="203" spans="1:5" x14ac:dyDescent="0.35">
      <c r="A203" s="1" t="s">
        <v>201</v>
      </c>
      <c r="B203">
        <v>58951.016448227339</v>
      </c>
      <c r="C203">
        <v>9574339.4602751993</v>
      </c>
      <c r="D203">
        <v>8823948.2602752019</v>
      </c>
      <c r="E203">
        <v>359.99999999999994</v>
      </c>
    </row>
    <row r="204" spans="1:5" x14ac:dyDescent="0.35">
      <c r="A204" s="1" t="s">
        <v>202</v>
      </c>
      <c r="B204">
        <v>21864.934180900163</v>
      </c>
      <c r="C204">
        <v>3527933.8270175997</v>
      </c>
      <c r="D204">
        <v>3285381.6537500247</v>
      </c>
      <c r="E204">
        <v>50</v>
      </c>
    </row>
    <row r="205" spans="1:5" x14ac:dyDescent="0.35">
      <c r="A205" s="1" t="s">
        <v>203</v>
      </c>
      <c r="B205">
        <v>11088.196025263291</v>
      </c>
      <c r="C205">
        <v>4238350.3669103999</v>
      </c>
      <c r="D205">
        <v>1553945.1845276041</v>
      </c>
      <c r="E205">
        <v>770</v>
      </c>
    </row>
    <row r="206" spans="1:5" x14ac:dyDescent="0.35">
      <c r="A206" s="1" t="s">
        <v>204</v>
      </c>
      <c r="B206">
        <v>31319.257119033191</v>
      </c>
      <c r="C206">
        <v>5875459.4484559996</v>
      </c>
      <c r="D206">
        <v>4707719.4456375288</v>
      </c>
      <c r="E206">
        <v>60</v>
      </c>
    </row>
    <row r="207" spans="1:5" x14ac:dyDescent="0.35">
      <c r="A207" s="1" t="s">
        <v>205</v>
      </c>
      <c r="B207">
        <v>36784.866832150525</v>
      </c>
      <c r="C207">
        <v>8390795.8231552001</v>
      </c>
      <c r="D207">
        <v>5539889.5831551999</v>
      </c>
    </row>
    <row r="208" spans="1:5" x14ac:dyDescent="0.35">
      <c r="A208" s="1" t="s">
        <v>206</v>
      </c>
      <c r="B208">
        <v>21469.478911991722</v>
      </c>
      <c r="C208">
        <v>10725378.524847999</v>
      </c>
      <c r="D208">
        <v>3156548.0289144162</v>
      </c>
      <c r="E208">
        <v>510</v>
      </c>
    </row>
    <row r="209" spans="1:5" x14ac:dyDescent="0.35">
      <c r="A209" s="1" t="s">
        <v>207</v>
      </c>
      <c r="B209">
        <v>51875.10918024381</v>
      </c>
      <c r="C209">
        <v>8428449.3535007983</v>
      </c>
      <c r="D209">
        <v>7767335.7199162366</v>
      </c>
      <c r="E209">
        <v>300</v>
      </c>
    </row>
    <row r="210" spans="1:5" x14ac:dyDescent="0.35">
      <c r="A210" s="1" t="s">
        <v>208</v>
      </c>
      <c r="B210">
        <v>5396.0688071228806</v>
      </c>
      <c r="C210">
        <v>1223559.4058688004</v>
      </c>
      <c r="D210">
        <v>803624.82034983137</v>
      </c>
      <c r="E210">
        <v>60</v>
      </c>
    </row>
    <row r="211" spans="1:5" x14ac:dyDescent="0.35">
      <c r="A211" s="1" t="s">
        <v>209</v>
      </c>
      <c r="B211">
        <v>38023.822877405953</v>
      </c>
      <c r="C211">
        <v>5930937.9034047993</v>
      </c>
      <c r="D211">
        <v>5724973.3249105355</v>
      </c>
      <c r="E211">
        <v>10.00000000000003</v>
      </c>
    </row>
    <row r="212" spans="1:5" x14ac:dyDescent="0.35">
      <c r="A212" s="1" t="s">
        <v>210</v>
      </c>
      <c r="B212">
        <v>18870.648962818304</v>
      </c>
      <c r="C212">
        <v>5548065.2727136007</v>
      </c>
      <c r="D212">
        <v>2771182.0727136</v>
      </c>
      <c r="E212">
        <v>470</v>
      </c>
    </row>
    <row r="213" spans="1:5" x14ac:dyDescent="0.35">
      <c r="A213" s="1" t="s">
        <v>211</v>
      </c>
      <c r="B213">
        <v>5453.555998183424</v>
      </c>
      <c r="C213">
        <v>1272341.4985215999</v>
      </c>
      <c r="D213">
        <v>697824.69852159999</v>
      </c>
      <c r="E213">
        <v>820</v>
      </c>
    </row>
    <row r="214" spans="1:5" x14ac:dyDescent="0.35">
      <c r="A214" s="1" t="s">
        <v>212</v>
      </c>
      <c r="B214">
        <v>52822.895281506309</v>
      </c>
      <c r="C214">
        <v>8190815.6219135998</v>
      </c>
      <c r="D214">
        <v>7899532.4219136005</v>
      </c>
      <c r="E214">
        <v>370</v>
      </c>
    </row>
    <row r="215" spans="1:5" x14ac:dyDescent="0.35">
      <c r="A215" s="1" t="s">
        <v>213</v>
      </c>
      <c r="B215">
        <v>2234.4103534561282</v>
      </c>
      <c r="C215">
        <v>377465.69419519976</v>
      </c>
      <c r="D215">
        <v>318435.29419520003</v>
      </c>
      <c r="E215">
        <v>120.00000000000009</v>
      </c>
    </row>
    <row r="216" spans="1:5" x14ac:dyDescent="0.35">
      <c r="A216" s="1" t="s">
        <v>214</v>
      </c>
      <c r="B216">
        <v>25044.696119016586</v>
      </c>
      <c r="C216">
        <v>4003732.5463199997</v>
      </c>
      <c r="D216">
        <v>3771791.584189245</v>
      </c>
    </row>
    <row r="217" spans="1:5" x14ac:dyDescent="0.35">
      <c r="A217" s="1" t="s">
        <v>215</v>
      </c>
      <c r="B217">
        <v>32553.094889972712</v>
      </c>
      <c r="C217">
        <v>9635542.2051616013</v>
      </c>
      <c r="D217">
        <v>4789622.7243934805</v>
      </c>
      <c r="E217">
        <v>750</v>
      </c>
    </row>
    <row r="218" spans="1:5" x14ac:dyDescent="0.35">
      <c r="A218" s="1" t="s">
        <v>216</v>
      </c>
      <c r="B218">
        <v>9645.0984168704017</v>
      </c>
      <c r="C218">
        <v>1741462.4073600015</v>
      </c>
      <c r="D218">
        <v>1336611.2073600001</v>
      </c>
      <c r="E218">
        <v>770</v>
      </c>
    </row>
    <row r="219" spans="1:5" x14ac:dyDescent="0.35">
      <c r="A219" s="1" t="s">
        <v>217</v>
      </c>
      <c r="B219">
        <v>3183.4914580189438</v>
      </c>
      <c r="C219">
        <v>1118652.4166895999</v>
      </c>
      <c r="D219">
        <v>417694.49668959994</v>
      </c>
      <c r="E219">
        <v>410</v>
      </c>
    </row>
    <row r="220" spans="1:5" x14ac:dyDescent="0.35">
      <c r="A220" s="1" t="s">
        <v>218</v>
      </c>
      <c r="B220">
        <v>5487.7902805357544</v>
      </c>
      <c r="C220">
        <v>2184443.8152991999</v>
      </c>
      <c r="D220">
        <v>710510.58441803523</v>
      </c>
      <c r="E220">
        <v>770</v>
      </c>
    </row>
    <row r="221" spans="1:5" x14ac:dyDescent="0.35">
      <c r="A221" s="1" t="s">
        <v>219</v>
      </c>
      <c r="B221">
        <v>13727.114321819121</v>
      </c>
      <c r="C221">
        <v>4228514.2627520002</v>
      </c>
      <c r="D221">
        <v>1945348.5424426387</v>
      </c>
      <c r="E221">
        <v>810</v>
      </c>
    </row>
    <row r="222" spans="1:5" x14ac:dyDescent="0.35">
      <c r="A222" s="1" t="s">
        <v>220</v>
      </c>
      <c r="B222">
        <v>8361.4926550459277</v>
      </c>
      <c r="C222">
        <v>2212634.8329279996</v>
      </c>
      <c r="D222">
        <v>1189983.833591254</v>
      </c>
      <c r="E222">
        <v>460</v>
      </c>
    </row>
    <row r="223" spans="1:5" x14ac:dyDescent="0.35">
      <c r="A223" s="1" t="s">
        <v>221</v>
      </c>
      <c r="B223">
        <v>33116.123371847163</v>
      </c>
      <c r="C223">
        <v>8157785.9285312006</v>
      </c>
      <c r="D223">
        <v>4969295.6885311995</v>
      </c>
      <c r="E223">
        <v>120</v>
      </c>
    </row>
    <row r="224" spans="1:5" x14ac:dyDescent="0.35">
      <c r="A224" s="1" t="s">
        <v>222</v>
      </c>
      <c r="B224">
        <v>27052.077800374653</v>
      </c>
      <c r="C224">
        <v>7479314.4735503998</v>
      </c>
      <c r="D224">
        <v>3997300.8735503997</v>
      </c>
      <c r="E224">
        <v>510</v>
      </c>
    </row>
    <row r="225" spans="1:5" x14ac:dyDescent="0.35">
      <c r="A225" s="1" t="s">
        <v>223</v>
      </c>
      <c r="B225">
        <v>20862.562504934911</v>
      </c>
      <c r="C225">
        <v>6636251.8201408004</v>
      </c>
      <c r="D225">
        <v>3074181.1001407998</v>
      </c>
      <c r="E225">
        <v>450</v>
      </c>
    </row>
    <row r="226" spans="1:5" x14ac:dyDescent="0.35">
      <c r="A226" s="1" t="s">
        <v>224</v>
      </c>
      <c r="B226">
        <v>4015.7393853664007</v>
      </c>
      <c r="C226">
        <v>710147.41875999887</v>
      </c>
      <c r="D226">
        <v>586707.73876000009</v>
      </c>
      <c r="E226">
        <v>119.99999999999999</v>
      </c>
    </row>
    <row r="227" spans="1:5" x14ac:dyDescent="0.35">
      <c r="A227" s="1" t="s">
        <v>225</v>
      </c>
      <c r="B227">
        <v>16746.527641592831</v>
      </c>
      <c r="C227">
        <v>5178755.1074687997</v>
      </c>
      <c r="D227">
        <v>2452790.3074687999</v>
      </c>
      <c r="E227">
        <v>460</v>
      </c>
    </row>
    <row r="228" spans="1:5" x14ac:dyDescent="0.35">
      <c r="A228" s="1" t="s">
        <v>226</v>
      </c>
      <c r="B228">
        <v>22517.340530361347</v>
      </c>
      <c r="C228">
        <v>5349643.0938496003</v>
      </c>
      <c r="D228">
        <v>3380623.5738496003</v>
      </c>
      <c r="E228">
        <v>70.000000000000014</v>
      </c>
    </row>
    <row r="229" spans="1:5" x14ac:dyDescent="0.35">
      <c r="A229" s="1" t="s">
        <v>227</v>
      </c>
      <c r="B229">
        <v>25768.971374334975</v>
      </c>
      <c r="C229">
        <v>11174132.1920384</v>
      </c>
      <c r="D229">
        <v>3773941.4720383999</v>
      </c>
      <c r="E229">
        <v>710</v>
      </c>
    </row>
    <row r="230" spans="1:5" x14ac:dyDescent="0.35">
      <c r="A230" s="1" t="s">
        <v>228</v>
      </c>
      <c r="B230">
        <v>39469.892408668798</v>
      </c>
      <c r="C230">
        <v>6666729.3529199995</v>
      </c>
      <c r="D230">
        <v>5944260.9049199997</v>
      </c>
    </row>
    <row r="231" spans="1:5" x14ac:dyDescent="0.35">
      <c r="A231" s="1" t="s">
        <v>229</v>
      </c>
      <c r="B231">
        <v>23739.691088028161</v>
      </c>
      <c r="C231">
        <v>3713739.9349440001</v>
      </c>
      <c r="D231">
        <v>3528567.9349440001</v>
      </c>
      <c r="E231">
        <v>310</v>
      </c>
    </row>
    <row r="232" spans="1:5" x14ac:dyDescent="0.35">
      <c r="A232" s="1" t="s">
        <v>230</v>
      </c>
      <c r="B232">
        <v>57191.938133889882</v>
      </c>
      <c r="C232">
        <v>14395625.231603201</v>
      </c>
      <c r="D232">
        <v>8549990.6828147415</v>
      </c>
      <c r="E232">
        <v>420</v>
      </c>
    </row>
    <row r="233" spans="1:5" x14ac:dyDescent="0.35">
      <c r="A233" s="1" t="s">
        <v>231</v>
      </c>
      <c r="B233">
        <v>47072.617947573759</v>
      </c>
      <c r="C233">
        <v>8048705.1391759999</v>
      </c>
      <c r="D233">
        <v>7025996.6788514694</v>
      </c>
      <c r="E233">
        <v>420</v>
      </c>
    </row>
    <row r="234" spans="1:5" x14ac:dyDescent="0.35">
      <c r="A234" s="1" t="s">
        <v>232</v>
      </c>
      <c r="B234">
        <v>60417.429330966916</v>
      </c>
      <c r="C234">
        <v>14736422.373940799</v>
      </c>
      <c r="D234">
        <v>9044793.5739408005</v>
      </c>
      <c r="E234">
        <v>360.00000000000006</v>
      </c>
    </row>
    <row r="235" spans="1:5" x14ac:dyDescent="0.35">
      <c r="A235" s="1" t="s">
        <v>233</v>
      </c>
      <c r="B235">
        <v>6640.6491897287688</v>
      </c>
      <c r="C235">
        <v>1547090.2379711997</v>
      </c>
      <c r="D235">
        <v>944374.87797120004</v>
      </c>
      <c r="E235">
        <v>370</v>
      </c>
    </row>
    <row r="236" spans="1:5" x14ac:dyDescent="0.35">
      <c r="A236" s="1" t="s">
        <v>234</v>
      </c>
      <c r="B236">
        <v>24857.745833086978</v>
      </c>
      <c r="C236">
        <v>6533438.8048384003</v>
      </c>
      <c r="D236">
        <v>3621648.4688384002</v>
      </c>
      <c r="E236">
        <v>810</v>
      </c>
    </row>
    <row r="237" spans="1:5" x14ac:dyDescent="0.35">
      <c r="A237" s="1" t="s">
        <v>235</v>
      </c>
      <c r="B237">
        <v>24775.97171171075</v>
      </c>
      <c r="C237">
        <v>5150926.6655392004</v>
      </c>
      <c r="D237">
        <v>3722284.8963419804</v>
      </c>
      <c r="E237">
        <v>60</v>
      </c>
    </row>
    <row r="238" spans="1:5" x14ac:dyDescent="0.35">
      <c r="A238" s="1" t="s">
        <v>236</v>
      </c>
      <c r="B238">
        <v>52811.608733032452</v>
      </c>
      <c r="C238">
        <v>8036023.3720832001</v>
      </c>
      <c r="D238">
        <v>7953555.5320832003</v>
      </c>
    </row>
    <row r="239" spans="1:5" x14ac:dyDescent="0.35">
      <c r="A239" s="1" t="s">
        <v>237</v>
      </c>
      <c r="B239">
        <v>27942.873464746237</v>
      </c>
      <c r="C239">
        <v>4447979.9160159994</v>
      </c>
      <c r="D239">
        <v>4208264.0760159995</v>
      </c>
    </row>
    <row r="240" spans="1:5" x14ac:dyDescent="0.35">
      <c r="A240" s="1" t="s">
        <v>238</v>
      </c>
      <c r="B240">
        <v>83062.741162077436</v>
      </c>
      <c r="C240">
        <v>19759550.946096003</v>
      </c>
      <c r="D240">
        <v>12507942.946095999</v>
      </c>
      <c r="E240">
        <v>10</v>
      </c>
    </row>
    <row r="241" spans="1:5" x14ac:dyDescent="0.35">
      <c r="A241" s="1" t="s">
        <v>239</v>
      </c>
      <c r="B241">
        <v>9221.9355356789765</v>
      </c>
      <c r="C241">
        <v>2080342.0216384009</v>
      </c>
      <c r="D241">
        <v>1333122.8216384002</v>
      </c>
      <c r="E241">
        <v>369.99999999999989</v>
      </c>
    </row>
    <row r="242" spans="1:5" x14ac:dyDescent="0.35">
      <c r="A242" s="1" t="s">
        <v>240</v>
      </c>
      <c r="B242">
        <v>28506.738954908673</v>
      </c>
      <c r="C242">
        <v>8002439.5621247999</v>
      </c>
      <c r="D242">
        <v>4177219.7221248001</v>
      </c>
      <c r="E242">
        <v>770</v>
      </c>
    </row>
    <row r="243" spans="1:5" x14ac:dyDescent="0.35">
      <c r="A243" s="1" t="s">
        <v>241</v>
      </c>
      <c r="B243">
        <v>17585.10241210624</v>
      </c>
      <c r="C243">
        <v>3774854.4500160003</v>
      </c>
      <c r="D243">
        <v>2601672.0500159999</v>
      </c>
      <c r="E243">
        <v>310.00000000000006</v>
      </c>
    </row>
    <row r="244" spans="1:5" x14ac:dyDescent="0.35">
      <c r="A244" s="1" t="s">
        <v>242</v>
      </c>
      <c r="B244">
        <v>9193.6883491787466</v>
      </c>
      <c r="C244">
        <v>3619119.8197439997</v>
      </c>
      <c r="D244">
        <v>1277663.9080088474</v>
      </c>
      <c r="E244">
        <v>710</v>
      </c>
    </row>
    <row r="245" spans="1:5" x14ac:dyDescent="0.35">
      <c r="A245" s="1" t="s">
        <v>243</v>
      </c>
      <c r="B245">
        <v>24478.933012752641</v>
      </c>
      <c r="C245">
        <v>7043022.3857760001</v>
      </c>
      <c r="D245">
        <v>3572128.4657760002</v>
      </c>
      <c r="E245">
        <v>760</v>
      </c>
    </row>
    <row r="246" spans="1:5" x14ac:dyDescent="0.35">
      <c r="A246" s="1" t="s">
        <v>244</v>
      </c>
      <c r="B246">
        <v>10490.836445059202</v>
      </c>
      <c r="C246">
        <v>2185764.3802800002</v>
      </c>
      <c r="D246">
        <v>1525728.3802800002</v>
      </c>
      <c r="E246">
        <v>360</v>
      </c>
    </row>
    <row r="247" spans="1:5" x14ac:dyDescent="0.35">
      <c r="A247" s="1" t="s">
        <v>245</v>
      </c>
      <c r="B247">
        <v>14654.815711770623</v>
      </c>
      <c r="C247">
        <v>3110902.0790015999</v>
      </c>
      <c r="D247">
        <v>2207050.5590015999</v>
      </c>
    </row>
    <row r="248" spans="1:5" x14ac:dyDescent="0.35">
      <c r="A248" s="1" t="s">
        <v>246</v>
      </c>
      <c r="B248">
        <v>88919.686623043584</v>
      </c>
      <c r="C248">
        <v>14573238.2022656</v>
      </c>
      <c r="D248">
        <v>13337302.2022656</v>
      </c>
      <c r="E248">
        <v>360</v>
      </c>
    </row>
    <row r="249" spans="1:5" x14ac:dyDescent="0.35">
      <c r="A249" s="1" t="s">
        <v>247</v>
      </c>
      <c r="B249">
        <v>10365.411579818983</v>
      </c>
      <c r="C249">
        <v>2102338.3205759991</v>
      </c>
      <c r="D249">
        <v>1499308.9728643047</v>
      </c>
      <c r="E249">
        <v>410</v>
      </c>
    </row>
    <row r="250" spans="1:5" x14ac:dyDescent="0.35">
      <c r="A250" s="1" t="s">
        <v>248</v>
      </c>
      <c r="B250">
        <v>7601.167098769919</v>
      </c>
      <c r="C250">
        <v>2264604.0281279995</v>
      </c>
      <c r="D250">
        <v>1066440.828128</v>
      </c>
      <c r="E250">
        <v>519.99999999999932</v>
      </c>
    </row>
    <row r="251" spans="1:5" x14ac:dyDescent="0.35">
      <c r="A251" s="1" t="s">
        <v>249</v>
      </c>
      <c r="B251">
        <v>4944.804118861568</v>
      </c>
      <c r="C251">
        <v>993384.21549119987</v>
      </c>
      <c r="D251">
        <v>744699.41549120005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1770B-40D0-44FC-9184-111D77262DDE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78936</v>
      </c>
      <c r="C2">
        <v>2.3283064365386963E-10</v>
      </c>
      <c r="D2">
        <v>37065.60000000002</v>
      </c>
    </row>
    <row r="3" spans="1:7" x14ac:dyDescent="0.35">
      <c r="A3" s="1" t="s">
        <v>1</v>
      </c>
      <c r="D3">
        <v>73382.400000000023</v>
      </c>
      <c r="E3">
        <v>1002456</v>
      </c>
      <c r="F3">
        <v>123832.79999999976</v>
      </c>
    </row>
    <row r="4" spans="1:7" x14ac:dyDescent="0.35">
      <c r="A4" s="1" t="s">
        <v>2</v>
      </c>
      <c r="B4">
        <v>2620.8000000000002</v>
      </c>
      <c r="D4">
        <v>2196.4800000000118</v>
      </c>
      <c r="E4">
        <v>101088</v>
      </c>
      <c r="G4">
        <v>50371.627600056687</v>
      </c>
    </row>
    <row r="5" spans="1:7" x14ac:dyDescent="0.35">
      <c r="A5" s="1" t="s">
        <v>3</v>
      </c>
      <c r="C5">
        <v>21840</v>
      </c>
      <c r="D5">
        <v>59488</v>
      </c>
      <c r="E5">
        <v>468000</v>
      </c>
      <c r="F5">
        <v>203008</v>
      </c>
    </row>
    <row r="6" spans="1:7" x14ac:dyDescent="0.35">
      <c r="A6" s="1" t="s">
        <v>4</v>
      </c>
      <c r="E6">
        <v>359424</v>
      </c>
      <c r="F6">
        <v>-2.9103830456733704E-11</v>
      </c>
    </row>
    <row r="7" spans="1:7" x14ac:dyDescent="0.35">
      <c r="A7" s="1" t="s">
        <v>5</v>
      </c>
      <c r="B7">
        <v>48921.600000000006</v>
      </c>
      <c r="C7">
        <v>211120</v>
      </c>
      <c r="D7">
        <v>77459.200000000041</v>
      </c>
    </row>
    <row r="8" spans="1:7" x14ac:dyDescent="0.35">
      <c r="A8" s="1" t="s">
        <v>6</v>
      </c>
      <c r="B8">
        <v>1.1641532182693481E-10</v>
      </c>
      <c r="D8">
        <v>43929.600000000006</v>
      </c>
      <c r="E8">
        <v>741312</v>
      </c>
      <c r="F8">
        <v>672971.5199999999</v>
      </c>
    </row>
    <row r="9" spans="1:7" x14ac:dyDescent="0.35">
      <c r="A9" s="1" t="s">
        <v>7</v>
      </c>
      <c r="B9">
        <v>63336.000000000007</v>
      </c>
      <c r="D9">
        <v>160617.59999999998</v>
      </c>
      <c r="E9">
        <v>1085760</v>
      </c>
      <c r="F9">
        <v>76128</v>
      </c>
    </row>
    <row r="10" spans="1:7" x14ac:dyDescent="0.35">
      <c r="A10" s="1" t="s">
        <v>8</v>
      </c>
      <c r="B10">
        <v>27518.399999999994</v>
      </c>
      <c r="C10">
        <v>65519.999999999971</v>
      </c>
      <c r="D10">
        <v>1281.2800000000116</v>
      </c>
      <c r="E10">
        <v>123552</v>
      </c>
      <c r="F10">
        <v>67704.000000000029</v>
      </c>
      <c r="G10">
        <v>5997.4954535330835</v>
      </c>
    </row>
    <row r="11" spans="1:7" x14ac:dyDescent="0.35">
      <c r="A11" s="1" t="s">
        <v>9</v>
      </c>
      <c r="B11">
        <v>69189.119999999995</v>
      </c>
      <c r="C11">
        <v>-2.9103830456733704E-11</v>
      </c>
      <c r="D11">
        <v>7321.6</v>
      </c>
      <c r="E11">
        <v>1085760</v>
      </c>
      <c r="F11">
        <v>16748.159999999993</v>
      </c>
    </row>
    <row r="12" spans="1:7" x14ac:dyDescent="0.35">
      <c r="A12" s="1" t="s">
        <v>10</v>
      </c>
      <c r="B12">
        <v>22464</v>
      </c>
      <c r="C12">
        <v>-2.9103830456733704E-11</v>
      </c>
      <c r="D12">
        <v>41371.199999999997</v>
      </c>
      <c r="F12">
        <v>-1.4551915228366852E-11</v>
      </c>
    </row>
    <row r="13" spans="1:7" x14ac:dyDescent="0.35">
      <c r="A13" s="1" t="s">
        <v>11</v>
      </c>
      <c r="B13">
        <v>141523.20000000001</v>
      </c>
      <c r="C13">
        <v>16380</v>
      </c>
      <c r="D13">
        <v>472726.8000000001</v>
      </c>
      <c r="E13">
        <v>841464</v>
      </c>
      <c r="F13">
        <v>-4.6566128730773926E-10</v>
      </c>
    </row>
    <row r="14" spans="1:7" x14ac:dyDescent="0.35">
      <c r="A14" s="1" t="s">
        <v>12</v>
      </c>
      <c r="B14">
        <v>960.95999999999412</v>
      </c>
      <c r="C14">
        <v>-2.9103830456733704E-11</v>
      </c>
      <c r="D14">
        <v>74360</v>
      </c>
      <c r="E14">
        <v>262080</v>
      </c>
      <c r="F14">
        <v>141086.40000000002</v>
      </c>
      <c r="G14">
        <v>40017.143246903936</v>
      </c>
    </row>
    <row r="15" spans="1:7" x14ac:dyDescent="0.35">
      <c r="A15" s="1" t="s">
        <v>13</v>
      </c>
      <c r="B15">
        <v>1.1641532182693481E-10</v>
      </c>
      <c r="C15">
        <v>68640</v>
      </c>
      <c r="D15">
        <v>82368.000000000029</v>
      </c>
      <c r="E15">
        <v>4410432</v>
      </c>
      <c r="F15">
        <v>-1.1641532182693481E-10</v>
      </c>
    </row>
    <row r="16" spans="1:7" x14ac:dyDescent="0.35">
      <c r="A16" s="1" t="s">
        <v>14</v>
      </c>
      <c r="B16">
        <v>45864</v>
      </c>
      <c r="C16">
        <v>61880</v>
      </c>
      <c r="D16">
        <v>5.8207660913467407E-11</v>
      </c>
      <c r="E16">
        <v>2584108.7999999998</v>
      </c>
      <c r="F16">
        <v>51513.279999999955</v>
      </c>
    </row>
    <row r="17" spans="1:7" x14ac:dyDescent="0.35">
      <c r="A17" s="1" t="s">
        <v>15</v>
      </c>
      <c r="B17">
        <v>29484</v>
      </c>
      <c r="C17">
        <v>-5.8207660913467407E-11</v>
      </c>
      <c r="D17">
        <v>10982.399999999998</v>
      </c>
      <c r="E17">
        <v>3420144</v>
      </c>
      <c r="F17">
        <v>383685.12</v>
      </c>
      <c r="G17">
        <v>85896.548503339087</v>
      </c>
    </row>
    <row r="18" spans="1:7" x14ac:dyDescent="0.35">
      <c r="A18" s="1" t="s">
        <v>16</v>
      </c>
      <c r="B18">
        <v>117936</v>
      </c>
      <c r="D18">
        <v>104832.00000000009</v>
      </c>
      <c r="E18">
        <v>6177600</v>
      </c>
      <c r="G18">
        <v>56775.13604183431</v>
      </c>
    </row>
    <row r="19" spans="1:7" x14ac:dyDescent="0.35">
      <c r="A19" s="1" t="s">
        <v>17</v>
      </c>
      <c r="B19">
        <v>21141.120000000003</v>
      </c>
      <c r="C19">
        <v>96095.999999999884</v>
      </c>
      <c r="D19">
        <v>100855.04000000004</v>
      </c>
      <c r="F19">
        <v>67267.199999999983</v>
      </c>
      <c r="G19">
        <v>49960.45460288084</v>
      </c>
    </row>
    <row r="20" spans="1:7" x14ac:dyDescent="0.35">
      <c r="A20" s="1" t="s">
        <v>18</v>
      </c>
      <c r="B20">
        <v>37346.400000000016</v>
      </c>
      <c r="G20">
        <v>31232.41364646532</v>
      </c>
    </row>
    <row r="21" spans="1:7" x14ac:dyDescent="0.35">
      <c r="A21" s="1" t="s">
        <v>19</v>
      </c>
      <c r="B21">
        <v>141523.20000000001</v>
      </c>
      <c r="C21">
        <v>243360</v>
      </c>
      <c r="E21">
        <v>5896800</v>
      </c>
      <c r="F21">
        <v>470995.20000000001</v>
      </c>
      <c r="G21">
        <v>204714.24266076059</v>
      </c>
    </row>
    <row r="22" spans="1:7" x14ac:dyDescent="0.35">
      <c r="A22" s="1" t="s">
        <v>20</v>
      </c>
      <c r="B22">
        <v>51367.680000000051</v>
      </c>
      <c r="C22">
        <v>114816</v>
      </c>
      <c r="E22">
        <v>1824076.8</v>
      </c>
      <c r="F22">
        <v>274060.80000000005</v>
      </c>
    </row>
    <row r="23" spans="1:7" x14ac:dyDescent="0.35">
      <c r="A23" s="1" t="s">
        <v>21</v>
      </c>
      <c r="B23">
        <v>68739.839999999997</v>
      </c>
      <c r="C23">
        <v>28392</v>
      </c>
      <c r="D23">
        <v>1647.360000000001</v>
      </c>
      <c r="E23">
        <v>437923.2</v>
      </c>
      <c r="F23">
        <v>146031.59999999998</v>
      </c>
      <c r="G23">
        <v>37090.565729915979</v>
      </c>
    </row>
    <row r="24" spans="1:7" x14ac:dyDescent="0.35">
      <c r="A24" s="1" t="s">
        <v>22</v>
      </c>
      <c r="B24">
        <v>98560.800000000017</v>
      </c>
      <c r="C24">
        <v>-7.2759576141834259E-12</v>
      </c>
      <c r="D24">
        <v>20638.800000000003</v>
      </c>
      <c r="E24">
        <v>7426598.4000000004</v>
      </c>
      <c r="F24">
        <v>97063.200000000041</v>
      </c>
      <c r="G24">
        <v>155022.34315230028</v>
      </c>
    </row>
    <row r="25" spans="1:7" x14ac:dyDescent="0.35">
      <c r="A25" s="1" t="s">
        <v>23</v>
      </c>
      <c r="C25">
        <v>-7.2759576141834259E-12</v>
      </c>
      <c r="D25">
        <v>83959.200000000012</v>
      </c>
      <c r="E25">
        <v>577740.80000000016</v>
      </c>
      <c r="F25">
        <v>85263.359999999971</v>
      </c>
      <c r="G25">
        <v>49906.398017584099</v>
      </c>
    </row>
    <row r="26" spans="1:7" x14ac:dyDescent="0.35">
      <c r="A26" s="1" t="s">
        <v>24</v>
      </c>
      <c r="B26">
        <v>23587.199999999997</v>
      </c>
      <c r="C26">
        <v>-3.637978807091713E-12</v>
      </c>
      <c r="E26">
        <v>576576</v>
      </c>
    </row>
    <row r="27" spans="1:7" x14ac:dyDescent="0.35">
      <c r="A27" s="1" t="s">
        <v>25</v>
      </c>
      <c r="B27">
        <v>2673.2160000000026</v>
      </c>
      <c r="E27">
        <v>580320</v>
      </c>
      <c r="F27">
        <v>180180</v>
      </c>
    </row>
    <row r="28" spans="1:7" x14ac:dyDescent="0.35">
      <c r="A28" s="1" t="s">
        <v>26</v>
      </c>
      <c r="B28">
        <v>20161.440000000002</v>
      </c>
      <c r="C28">
        <v>1.1641532182693481E-10</v>
      </c>
      <c r="D28">
        <v>51105.599999999999</v>
      </c>
      <c r="E28">
        <v>25147.200000000004</v>
      </c>
      <c r="F28">
        <v>11419.2</v>
      </c>
      <c r="G28">
        <v>42237.750921035557</v>
      </c>
    </row>
    <row r="29" spans="1:7" x14ac:dyDescent="0.35">
      <c r="A29" s="1" t="s">
        <v>27</v>
      </c>
      <c r="B29">
        <v>268632</v>
      </c>
      <c r="C29">
        <v>95472</v>
      </c>
      <c r="D29">
        <v>135358.08000000002</v>
      </c>
      <c r="E29">
        <v>6840288</v>
      </c>
      <c r="F29">
        <v>87141.600000000035</v>
      </c>
    </row>
    <row r="30" spans="1:7" x14ac:dyDescent="0.35">
      <c r="A30" s="1" t="s">
        <v>28</v>
      </c>
      <c r="B30">
        <v>5.8207660913467407E-11</v>
      </c>
      <c r="D30">
        <v>39811.200000000004</v>
      </c>
      <c r="E30">
        <v>973440</v>
      </c>
      <c r="F30">
        <v>128783.20000000001</v>
      </c>
      <c r="G30">
        <v>28515.506410370494</v>
      </c>
    </row>
    <row r="31" spans="1:7" x14ac:dyDescent="0.35">
      <c r="A31" s="1" t="s">
        <v>29</v>
      </c>
      <c r="B31">
        <v>262211.0400000001</v>
      </c>
      <c r="D31">
        <v>140540.40000000002</v>
      </c>
      <c r="E31">
        <v>5016211.2</v>
      </c>
      <c r="F31">
        <v>1406059.2</v>
      </c>
    </row>
    <row r="32" spans="1:7" x14ac:dyDescent="0.35">
      <c r="A32" s="1" t="s">
        <v>30</v>
      </c>
      <c r="B32">
        <v>127576.80000000002</v>
      </c>
      <c r="D32">
        <v>53676.48000000001</v>
      </c>
      <c r="F32">
        <v>186732</v>
      </c>
    </row>
    <row r="33" spans="1:7" x14ac:dyDescent="0.35">
      <c r="A33" s="1" t="s">
        <v>31</v>
      </c>
      <c r="B33">
        <v>3120</v>
      </c>
      <c r="D33">
        <v>44478.720000000001</v>
      </c>
      <c r="E33">
        <v>1042329.6</v>
      </c>
      <c r="F33">
        <v>307070.40000000002</v>
      </c>
    </row>
    <row r="34" spans="1:7" x14ac:dyDescent="0.35">
      <c r="A34" s="1" t="s">
        <v>32</v>
      </c>
      <c r="B34">
        <v>37440</v>
      </c>
      <c r="C34">
        <v>22879.999999999985</v>
      </c>
      <c r="D34">
        <v>36241.919999999998</v>
      </c>
      <c r="E34">
        <v>269526.40000000002</v>
      </c>
    </row>
    <row r="35" spans="1:7" x14ac:dyDescent="0.35">
      <c r="A35" s="1" t="s">
        <v>33</v>
      </c>
      <c r="C35">
        <v>-5.8207660913467407E-11</v>
      </c>
      <c r="E35">
        <v>2515968</v>
      </c>
      <c r="F35">
        <v>-1.4551915228366852E-11</v>
      </c>
      <c r="G35">
        <v>113059.77427932335</v>
      </c>
    </row>
    <row r="36" spans="1:7" x14ac:dyDescent="0.35">
      <c r="A36" s="1" t="s">
        <v>34</v>
      </c>
      <c r="B36">
        <v>53539.199999999983</v>
      </c>
      <c r="D36">
        <v>109199.99999999997</v>
      </c>
      <c r="F36">
        <v>63882.000000000015</v>
      </c>
    </row>
    <row r="37" spans="1:7" x14ac:dyDescent="0.35">
      <c r="A37" s="1" t="s">
        <v>35</v>
      </c>
      <c r="B37">
        <v>69896.736000000004</v>
      </c>
      <c r="D37">
        <v>1.1641532182693481E-10</v>
      </c>
      <c r="E37">
        <v>5016211.2</v>
      </c>
      <c r="F37">
        <v>64209.599999999962</v>
      </c>
      <c r="G37">
        <v>293475.87465991522</v>
      </c>
    </row>
    <row r="38" spans="1:7" x14ac:dyDescent="0.35">
      <c r="A38" s="1" t="s">
        <v>36</v>
      </c>
      <c r="B38">
        <v>586310.40000000014</v>
      </c>
      <c r="C38">
        <v>1.1641532182693481E-10</v>
      </c>
      <c r="E38">
        <v>1769040</v>
      </c>
      <c r="F38">
        <v>38825.279999999999</v>
      </c>
    </row>
    <row r="39" spans="1:7" x14ac:dyDescent="0.35">
      <c r="A39" s="1" t="s">
        <v>37</v>
      </c>
      <c r="B39">
        <v>125798.39999999999</v>
      </c>
      <c r="C39">
        <v>145599.99999999994</v>
      </c>
      <c r="D39">
        <v>10982.400000000001</v>
      </c>
      <c r="E39">
        <v>2493504</v>
      </c>
      <c r="G39">
        <v>79901.54853736778</v>
      </c>
    </row>
    <row r="40" spans="1:7" x14ac:dyDescent="0.35">
      <c r="A40" s="1" t="s">
        <v>38</v>
      </c>
      <c r="B40">
        <v>419328.00000000006</v>
      </c>
      <c r="D40">
        <v>37889.280000000006</v>
      </c>
      <c r="E40">
        <v>3412281.6000000006</v>
      </c>
      <c r="F40">
        <v>498700.79999999993</v>
      </c>
    </row>
    <row r="41" spans="1:7" x14ac:dyDescent="0.35">
      <c r="A41" s="1" t="s">
        <v>39</v>
      </c>
      <c r="B41">
        <v>5.8207660913467407E-11</v>
      </c>
      <c r="C41">
        <v>49920</v>
      </c>
      <c r="D41">
        <v>225108</v>
      </c>
      <c r="E41">
        <v>404352</v>
      </c>
      <c r="F41">
        <v>19793.279999999955</v>
      </c>
    </row>
    <row r="42" spans="1:7" x14ac:dyDescent="0.35">
      <c r="A42" s="1" t="s">
        <v>40</v>
      </c>
      <c r="B42">
        <v>6240</v>
      </c>
      <c r="C42">
        <v>147420.00000000006</v>
      </c>
      <c r="D42">
        <v>254852.00000000006</v>
      </c>
      <c r="E42">
        <v>187200</v>
      </c>
      <c r="F42">
        <v>243385.99999999994</v>
      </c>
      <c r="G42">
        <v>68963.71410899522</v>
      </c>
    </row>
    <row r="43" spans="1:7" x14ac:dyDescent="0.35">
      <c r="A43" s="1" t="s">
        <v>41</v>
      </c>
      <c r="B43">
        <v>28304.640000000003</v>
      </c>
      <c r="C43">
        <v>-1.1641532182693481E-10</v>
      </c>
      <c r="D43">
        <v>5.8207660913467407E-11</v>
      </c>
      <c r="E43">
        <v>4456857.6000000006</v>
      </c>
      <c r="F43">
        <v>398652.79999999993</v>
      </c>
      <c r="G43">
        <v>141738.58675484508</v>
      </c>
    </row>
    <row r="44" spans="1:7" x14ac:dyDescent="0.35">
      <c r="A44" s="1" t="s">
        <v>42</v>
      </c>
      <c r="B44">
        <v>18645.120000000003</v>
      </c>
      <c r="C44">
        <v>-5.8207660913467407E-11</v>
      </c>
      <c r="D44">
        <v>21781.760000000024</v>
      </c>
      <c r="F44">
        <v>51767.039999999994</v>
      </c>
      <c r="G44">
        <v>114343.56476333029</v>
      </c>
    </row>
    <row r="45" spans="1:7" x14ac:dyDescent="0.35">
      <c r="A45" s="1" t="s">
        <v>43</v>
      </c>
      <c r="B45">
        <v>465454.08000000002</v>
      </c>
      <c r="C45">
        <v>374400</v>
      </c>
      <c r="E45">
        <v>10543936</v>
      </c>
      <c r="G45">
        <v>191729.86889949016</v>
      </c>
    </row>
    <row r="46" spans="1:7" x14ac:dyDescent="0.35">
      <c r="A46" s="1" t="s">
        <v>44</v>
      </c>
      <c r="B46">
        <v>32148.479999999952</v>
      </c>
      <c r="C46">
        <v>43264</v>
      </c>
      <c r="E46">
        <v>3575769.6</v>
      </c>
      <c r="G46">
        <v>109943.52246773611</v>
      </c>
    </row>
    <row r="47" spans="1:7" x14ac:dyDescent="0.35">
      <c r="A47" s="1" t="s">
        <v>45</v>
      </c>
      <c r="B47">
        <v>30576</v>
      </c>
      <c r="C47">
        <v>144144</v>
      </c>
      <c r="D47">
        <v>15375.360000000008</v>
      </c>
      <c r="E47">
        <v>4520880</v>
      </c>
      <c r="F47">
        <v>199326.39999999994</v>
      </c>
      <c r="G47">
        <v>139011.89705778332</v>
      </c>
    </row>
    <row r="48" spans="1:7" x14ac:dyDescent="0.35">
      <c r="A48" s="1" t="s">
        <v>46</v>
      </c>
      <c r="C48">
        <v>15600</v>
      </c>
      <c r="D48">
        <v>26208.000000000015</v>
      </c>
      <c r="E48">
        <v>1235520</v>
      </c>
      <c r="F48">
        <v>12180.480000000014</v>
      </c>
      <c r="G48">
        <v>2.9103830456733704E-11</v>
      </c>
    </row>
    <row r="49" spans="1:7" x14ac:dyDescent="0.35">
      <c r="A49" s="1" t="s">
        <v>47</v>
      </c>
      <c r="B49">
        <v>118198.08000000002</v>
      </c>
      <c r="C49">
        <v>121524</v>
      </c>
      <c r="D49">
        <v>-5.8207660913467407E-11</v>
      </c>
    </row>
    <row r="50" spans="1:7" x14ac:dyDescent="0.35">
      <c r="A50" s="1" t="s">
        <v>48</v>
      </c>
      <c r="B50">
        <v>45052.800000000025</v>
      </c>
      <c r="C50">
        <v>-1.4551915228366852E-11</v>
      </c>
      <c r="D50">
        <v>7687.6800000000112</v>
      </c>
      <c r="F50">
        <v>287830.39999999997</v>
      </c>
    </row>
    <row r="51" spans="1:7" x14ac:dyDescent="0.35">
      <c r="A51" s="1" t="s">
        <v>49</v>
      </c>
      <c r="B51">
        <v>102735.36000000003</v>
      </c>
      <c r="C51">
        <v>19188</v>
      </c>
      <c r="D51">
        <v>162240</v>
      </c>
      <c r="E51">
        <v>293155.20000000001</v>
      </c>
      <c r="G51">
        <v>59083.973180222762</v>
      </c>
    </row>
    <row r="52" spans="1:7" x14ac:dyDescent="0.35">
      <c r="A52" s="1" t="s">
        <v>50</v>
      </c>
      <c r="B52">
        <v>25159.679999999993</v>
      </c>
      <c r="C52">
        <v>79040</v>
      </c>
      <c r="D52">
        <v>46126.080000000002</v>
      </c>
      <c r="E52">
        <v>2135577.6000000001</v>
      </c>
      <c r="F52">
        <v>311875.19999999995</v>
      </c>
      <c r="G52">
        <v>69615.296461049409</v>
      </c>
    </row>
    <row r="53" spans="1:7" x14ac:dyDescent="0.35">
      <c r="A53" s="1" t="s">
        <v>51</v>
      </c>
      <c r="B53">
        <v>7731.360000000006</v>
      </c>
      <c r="D53">
        <v>43792.320000000007</v>
      </c>
      <c r="E53">
        <v>328536</v>
      </c>
      <c r="F53">
        <v>66992.639999999999</v>
      </c>
    </row>
    <row r="54" spans="1:7" x14ac:dyDescent="0.35">
      <c r="A54" s="1" t="s">
        <v>52</v>
      </c>
      <c r="B54">
        <v>117848.64000000004</v>
      </c>
      <c r="C54">
        <v>195000</v>
      </c>
      <c r="D54">
        <v>109200.00000000006</v>
      </c>
      <c r="E54">
        <v>2770560</v>
      </c>
      <c r="F54">
        <v>340703.99999999988</v>
      </c>
      <c r="G54">
        <v>164202.46089910026</v>
      </c>
    </row>
    <row r="55" spans="1:7" x14ac:dyDescent="0.35">
      <c r="A55" s="1" t="s">
        <v>53</v>
      </c>
      <c r="B55">
        <v>-7.2759576141834259E-12</v>
      </c>
      <c r="C55">
        <v>123552.00000000006</v>
      </c>
      <c r="D55">
        <v>237276</v>
      </c>
      <c r="E55">
        <v>2345241.6000000001</v>
      </c>
      <c r="F55">
        <v>1.1641532182693481E-10</v>
      </c>
      <c r="G55">
        <v>235423.80978787743</v>
      </c>
    </row>
    <row r="56" spans="1:7" x14ac:dyDescent="0.35">
      <c r="A56" s="1" t="s">
        <v>54</v>
      </c>
      <c r="B56">
        <v>9233.9519999999993</v>
      </c>
      <c r="C56">
        <v>25167.999999999971</v>
      </c>
      <c r="D56">
        <v>34070.39999999998</v>
      </c>
      <c r="E56">
        <v>67392</v>
      </c>
      <c r="G56">
        <v>2.9103830456733704E-11</v>
      </c>
    </row>
    <row r="57" spans="1:7" x14ac:dyDescent="0.35">
      <c r="A57" s="1" t="s">
        <v>55</v>
      </c>
      <c r="B57">
        <v>37065.599999999991</v>
      </c>
      <c r="C57">
        <v>3.4924596548080444E-10</v>
      </c>
      <c r="D57">
        <v>238820.39999999997</v>
      </c>
      <c r="F57">
        <v>411091.20000000007</v>
      </c>
    </row>
    <row r="58" spans="1:7" x14ac:dyDescent="0.35">
      <c r="A58" s="1" t="s">
        <v>56</v>
      </c>
      <c r="B58">
        <v>95606.784</v>
      </c>
      <c r="D58">
        <v>18345.599999999977</v>
      </c>
      <c r="E58">
        <v>238867.20000000001</v>
      </c>
      <c r="F58">
        <v>113021.99999999988</v>
      </c>
    </row>
    <row r="59" spans="1:7" x14ac:dyDescent="0.35">
      <c r="A59" s="1" t="s">
        <v>57</v>
      </c>
      <c r="B59">
        <v>11007.359999999993</v>
      </c>
      <c r="D59">
        <v>492804.00000000006</v>
      </c>
      <c r="E59">
        <v>943488</v>
      </c>
      <c r="F59">
        <v>165110.39999999985</v>
      </c>
      <c r="G59">
        <v>259156.00078183284</v>
      </c>
    </row>
    <row r="60" spans="1:7" x14ac:dyDescent="0.35">
      <c r="A60" s="1" t="s">
        <v>58</v>
      </c>
      <c r="B60">
        <v>36734.880000000012</v>
      </c>
      <c r="D60">
        <v>8408.4000000000233</v>
      </c>
      <c r="E60">
        <v>467480</v>
      </c>
      <c r="F60">
        <v>-2.9103830456733704E-11</v>
      </c>
      <c r="G60">
        <v>27721.735947162691</v>
      </c>
    </row>
    <row r="61" spans="1:7" x14ac:dyDescent="0.35">
      <c r="A61" s="1" t="s">
        <v>59</v>
      </c>
      <c r="B61">
        <v>2995.1999999999935</v>
      </c>
      <c r="C61">
        <v>62400</v>
      </c>
      <c r="D61">
        <v>7.2759576141834259E-12</v>
      </c>
      <c r="E61">
        <v>603532.80000000005</v>
      </c>
      <c r="F61">
        <v>363636</v>
      </c>
      <c r="G61">
        <v>80866.249905294462</v>
      </c>
    </row>
    <row r="62" spans="1:7" x14ac:dyDescent="0.35">
      <c r="A62" s="1" t="s">
        <v>60</v>
      </c>
      <c r="B62">
        <v>38578.176000000014</v>
      </c>
      <c r="E62">
        <v>3459456</v>
      </c>
      <c r="F62">
        <v>48721.919999999998</v>
      </c>
      <c r="G62">
        <v>161735.00113122707</v>
      </c>
    </row>
    <row r="63" spans="1:7" x14ac:dyDescent="0.35">
      <c r="A63" s="1" t="s">
        <v>61</v>
      </c>
      <c r="B63">
        <v>22364.160000000003</v>
      </c>
      <c r="C63">
        <v>12480</v>
      </c>
      <c r="D63">
        <v>21232.640000000003</v>
      </c>
      <c r="E63">
        <v>135408</v>
      </c>
    </row>
    <row r="64" spans="1:7" x14ac:dyDescent="0.35">
      <c r="A64" s="1" t="s">
        <v>62</v>
      </c>
      <c r="B64">
        <v>-2.3283064365386963E-10</v>
      </c>
      <c r="D64">
        <v>36241.919999999998</v>
      </c>
      <c r="E64">
        <v>3199372.8</v>
      </c>
      <c r="F64">
        <v>363636</v>
      </c>
    </row>
    <row r="65" spans="1:7" x14ac:dyDescent="0.35">
      <c r="A65" s="1" t="s">
        <v>63</v>
      </c>
      <c r="B65">
        <v>37440</v>
      </c>
      <c r="D65">
        <v>66718.079999999987</v>
      </c>
      <c r="E65">
        <v>1592448</v>
      </c>
      <c r="F65">
        <v>55036.800000000017</v>
      </c>
      <c r="G65">
        <v>16211.593167141298</v>
      </c>
    </row>
    <row r="66" spans="1:7" x14ac:dyDescent="0.35">
      <c r="A66" s="1" t="s">
        <v>64</v>
      </c>
      <c r="B66">
        <v>30139.199999999997</v>
      </c>
      <c r="C66">
        <v>69888.000000000029</v>
      </c>
      <c r="D66">
        <v>34652.800000000017</v>
      </c>
      <c r="E66">
        <v>2339064</v>
      </c>
      <c r="F66">
        <v>300198.07999999996</v>
      </c>
    </row>
    <row r="67" spans="1:7" x14ac:dyDescent="0.35">
      <c r="A67" s="1" t="s">
        <v>65</v>
      </c>
      <c r="B67">
        <v>3494.3999999999978</v>
      </c>
      <c r="C67">
        <v>49140.000000000015</v>
      </c>
      <c r="D67">
        <v>2.9103830456733704E-11</v>
      </c>
      <c r="E67">
        <v>784160</v>
      </c>
      <c r="G67">
        <v>85918.405441268973</v>
      </c>
    </row>
    <row r="68" spans="1:7" x14ac:dyDescent="0.35">
      <c r="A68" s="1" t="s">
        <v>66</v>
      </c>
      <c r="B68">
        <v>181988.35200000007</v>
      </c>
      <c r="C68">
        <v>84239.999999999971</v>
      </c>
      <c r="E68">
        <v>3594240</v>
      </c>
      <c r="F68">
        <v>228384</v>
      </c>
    </row>
    <row r="69" spans="1:7" x14ac:dyDescent="0.35">
      <c r="A69" s="1" t="s">
        <v>67</v>
      </c>
      <c r="C69">
        <v>53871.999999999971</v>
      </c>
      <c r="D69">
        <v>33196.799999999988</v>
      </c>
      <c r="E69">
        <v>1191590.4000000004</v>
      </c>
    </row>
    <row r="70" spans="1:7" x14ac:dyDescent="0.35">
      <c r="A70" s="1" t="s">
        <v>68</v>
      </c>
      <c r="B70">
        <v>218400.00000000012</v>
      </c>
      <c r="D70">
        <v>26357.760000000002</v>
      </c>
      <c r="F70">
        <v>872726.39999999991</v>
      </c>
      <c r="G70">
        <v>424057.65232495946</v>
      </c>
    </row>
    <row r="71" spans="1:7" x14ac:dyDescent="0.35">
      <c r="A71" s="1" t="s">
        <v>69</v>
      </c>
      <c r="B71">
        <v>283483.2</v>
      </c>
      <c r="C71">
        <v>24960</v>
      </c>
      <c r="G71">
        <v>245128.08086575216</v>
      </c>
    </row>
    <row r="72" spans="1:7" x14ac:dyDescent="0.35">
      <c r="A72" s="1" t="s">
        <v>70</v>
      </c>
      <c r="B72">
        <v>279552.00000000006</v>
      </c>
      <c r="D72">
        <v>42588.000000000015</v>
      </c>
      <c r="E72">
        <v>77376</v>
      </c>
      <c r="F72">
        <v>88452</v>
      </c>
    </row>
    <row r="73" spans="1:7" x14ac:dyDescent="0.35">
      <c r="A73" s="1" t="s">
        <v>71</v>
      </c>
      <c r="B73">
        <v>123552</v>
      </c>
      <c r="C73">
        <v>260000</v>
      </c>
      <c r="D73">
        <v>93350.400000000052</v>
      </c>
      <c r="E73">
        <v>599664.00000000012</v>
      </c>
      <c r="F73">
        <v>225107.99999999991</v>
      </c>
      <c r="G73">
        <v>96401.336914580315</v>
      </c>
    </row>
    <row r="74" spans="1:7" x14ac:dyDescent="0.35">
      <c r="A74" s="1" t="s">
        <v>72</v>
      </c>
      <c r="B74">
        <v>5346.4319999999998</v>
      </c>
      <c r="C74">
        <v>2.9103830456733704E-11</v>
      </c>
      <c r="D74">
        <v>105705.59999999998</v>
      </c>
      <c r="E74">
        <v>5756400</v>
      </c>
      <c r="F74">
        <v>678787.2</v>
      </c>
    </row>
    <row r="75" spans="1:7" x14ac:dyDescent="0.35">
      <c r="A75" s="1" t="s">
        <v>73</v>
      </c>
      <c r="B75">
        <v>162489.60000000003</v>
      </c>
      <c r="C75">
        <v>83200</v>
      </c>
      <c r="D75">
        <v>99008.000000000029</v>
      </c>
      <c r="E75">
        <v>7853664</v>
      </c>
      <c r="F75">
        <v>327600</v>
      </c>
      <c r="G75">
        <v>246295.35134563572</v>
      </c>
    </row>
    <row r="76" spans="1:7" x14ac:dyDescent="0.35">
      <c r="A76" s="1" t="s">
        <v>74</v>
      </c>
      <c r="B76">
        <v>39936</v>
      </c>
      <c r="D76">
        <v>32032.000000000007</v>
      </c>
      <c r="E76">
        <v>379142.40000000002</v>
      </c>
      <c r="F76">
        <v>18778.23999999998</v>
      </c>
    </row>
    <row r="77" spans="1:7" x14ac:dyDescent="0.35">
      <c r="A77" s="1" t="s">
        <v>75</v>
      </c>
      <c r="B77">
        <v>41034.240000000005</v>
      </c>
      <c r="D77">
        <v>41932.800000000017</v>
      </c>
      <c r="E77">
        <v>227448</v>
      </c>
      <c r="F77">
        <v>137591.99999999997</v>
      </c>
    </row>
    <row r="78" spans="1:7" x14ac:dyDescent="0.35">
      <c r="A78" s="1" t="s">
        <v>76</v>
      </c>
      <c r="B78">
        <v>349.43999999999869</v>
      </c>
      <c r="D78">
        <v>1.1641532182693481E-10</v>
      </c>
      <c r="F78">
        <v>864864</v>
      </c>
      <c r="G78">
        <v>237546.50752686875</v>
      </c>
    </row>
    <row r="79" spans="1:7" x14ac:dyDescent="0.35">
      <c r="A79" s="1" t="s">
        <v>77</v>
      </c>
      <c r="B79">
        <v>13104</v>
      </c>
      <c r="C79">
        <v>16848</v>
      </c>
      <c r="F79">
        <v>114987.60000000009</v>
      </c>
      <c r="G79">
        <v>60877.948490070135</v>
      </c>
    </row>
    <row r="80" spans="1:7" x14ac:dyDescent="0.35">
      <c r="A80" s="1" t="s">
        <v>78</v>
      </c>
      <c r="B80">
        <v>239715.84000000003</v>
      </c>
      <c r="C80">
        <v>5.8207660913467407E-11</v>
      </c>
      <c r="D80">
        <v>238492.80000000005</v>
      </c>
      <c r="F80">
        <v>245117.59999999992</v>
      </c>
      <c r="G80">
        <v>251138.87341636221</v>
      </c>
    </row>
    <row r="81" spans="1:7" x14ac:dyDescent="0.35">
      <c r="A81" s="1" t="s">
        <v>79</v>
      </c>
      <c r="D81">
        <v>25945.919999999991</v>
      </c>
      <c r="E81">
        <v>370656</v>
      </c>
      <c r="F81">
        <v>310602.24000000005</v>
      </c>
      <c r="G81">
        <v>46244.765670273046</v>
      </c>
    </row>
    <row r="82" spans="1:7" x14ac:dyDescent="0.35">
      <c r="A82" s="1" t="s">
        <v>80</v>
      </c>
      <c r="B82">
        <v>217152</v>
      </c>
      <c r="C82">
        <v>18200</v>
      </c>
      <c r="D82">
        <v>1.4551915228366852E-11</v>
      </c>
      <c r="E82">
        <v>515840</v>
      </c>
      <c r="G82">
        <v>90662.408516603027</v>
      </c>
    </row>
    <row r="83" spans="1:7" x14ac:dyDescent="0.35">
      <c r="A83" s="1" t="s">
        <v>81</v>
      </c>
      <c r="B83">
        <v>128419.20000000001</v>
      </c>
      <c r="C83">
        <v>101400</v>
      </c>
      <c r="D83">
        <v>14185.600000000002</v>
      </c>
      <c r="E83">
        <v>3257280</v>
      </c>
      <c r="F83">
        <v>66612</v>
      </c>
      <c r="G83">
        <v>39861.866042066074</v>
      </c>
    </row>
    <row r="84" spans="1:7" x14ac:dyDescent="0.35">
      <c r="A84" s="1" t="s">
        <v>82</v>
      </c>
      <c r="B84">
        <v>181621.44</v>
      </c>
      <c r="D84">
        <v>16016</v>
      </c>
      <c r="F84">
        <v>183456</v>
      </c>
      <c r="G84">
        <v>161759.18355420729</v>
      </c>
    </row>
    <row r="85" spans="1:7" x14ac:dyDescent="0.35">
      <c r="A85" s="1" t="s">
        <v>83</v>
      </c>
      <c r="B85">
        <v>65145.60000000002</v>
      </c>
      <c r="C85">
        <v>9984</v>
      </c>
      <c r="D85">
        <v>44553.600000000006</v>
      </c>
      <c r="E85">
        <v>434304</v>
      </c>
      <c r="F85">
        <v>461760.00000000006</v>
      </c>
      <c r="G85">
        <v>142840.83979343536</v>
      </c>
    </row>
    <row r="86" spans="1:7" x14ac:dyDescent="0.35">
      <c r="A86" s="1" t="s">
        <v>84</v>
      </c>
      <c r="B86">
        <v>2446.0799999999972</v>
      </c>
      <c r="F86">
        <v>213412.15999999997</v>
      </c>
      <c r="G86">
        <v>26526.440563851473</v>
      </c>
    </row>
    <row r="87" spans="1:7" x14ac:dyDescent="0.35">
      <c r="A87" s="1" t="s">
        <v>85</v>
      </c>
      <c r="B87">
        <v>79872</v>
      </c>
      <c r="C87">
        <v>-1.4551915228366852E-11</v>
      </c>
      <c r="E87">
        <v>89856</v>
      </c>
      <c r="F87">
        <v>384800</v>
      </c>
    </row>
    <row r="88" spans="1:7" x14ac:dyDescent="0.35">
      <c r="A88" s="1" t="s">
        <v>86</v>
      </c>
      <c r="B88">
        <v>40185.600000000006</v>
      </c>
      <c r="C88">
        <v>10400</v>
      </c>
      <c r="D88">
        <v>91936.000000000029</v>
      </c>
      <c r="E88">
        <v>127296</v>
      </c>
      <c r="F88">
        <v>500240.00000000006</v>
      </c>
      <c r="G88">
        <v>26981.147811843679</v>
      </c>
    </row>
    <row r="89" spans="1:7" x14ac:dyDescent="0.35">
      <c r="A89" s="1" t="s">
        <v>87</v>
      </c>
      <c r="B89">
        <v>339655.68000000005</v>
      </c>
      <c r="C89">
        <v>5.8207660913467407E-11</v>
      </c>
      <c r="D89">
        <v>231192</v>
      </c>
      <c r="E89">
        <v>2736115.2</v>
      </c>
    </row>
    <row r="90" spans="1:7" x14ac:dyDescent="0.35">
      <c r="A90" s="1" t="s">
        <v>88</v>
      </c>
      <c r="B90">
        <v>96192.096000000049</v>
      </c>
      <c r="D90">
        <v>115315.19999999998</v>
      </c>
      <c r="E90">
        <v>1048320</v>
      </c>
      <c r="F90">
        <v>-2.9103830456733704E-11</v>
      </c>
    </row>
    <row r="91" spans="1:7" x14ac:dyDescent="0.35">
      <c r="A91" s="1" t="s">
        <v>89</v>
      </c>
      <c r="B91">
        <v>126846.72</v>
      </c>
      <c r="C91">
        <v>271439.99999999988</v>
      </c>
      <c r="D91">
        <v>81900.000000000029</v>
      </c>
      <c r="E91">
        <v>2490009.6000000001</v>
      </c>
      <c r="F91">
        <v>393119.99999999977</v>
      </c>
      <c r="G91">
        <v>91388.513547690382</v>
      </c>
    </row>
    <row r="92" spans="1:7" x14ac:dyDescent="0.35">
      <c r="A92" s="1" t="s">
        <v>90</v>
      </c>
      <c r="B92">
        <v>24897.600000000006</v>
      </c>
      <c r="C92">
        <v>76752</v>
      </c>
      <c r="D92">
        <v>-2.9103830456733704E-11</v>
      </c>
      <c r="F92">
        <v>151351.19999999995</v>
      </c>
      <c r="G92">
        <v>239051.86691558961</v>
      </c>
    </row>
    <row r="93" spans="1:7" x14ac:dyDescent="0.35">
      <c r="A93" s="1" t="s">
        <v>91</v>
      </c>
      <c r="B93">
        <v>-1.4551915228366852E-11</v>
      </c>
      <c r="D93">
        <v>128494.08000000002</v>
      </c>
      <c r="E93">
        <v>959462.40000000014</v>
      </c>
      <c r="F93">
        <v>234474.24000000011</v>
      </c>
      <c r="G93">
        <v>63007.91399713367</v>
      </c>
    </row>
    <row r="94" spans="1:7" x14ac:dyDescent="0.35">
      <c r="A94" s="1" t="s">
        <v>92</v>
      </c>
      <c r="B94">
        <v>25459.200000000001</v>
      </c>
      <c r="C94">
        <v>232960</v>
      </c>
      <c r="D94">
        <v>118976.00000000001</v>
      </c>
      <c r="F94">
        <v>848484</v>
      </c>
      <c r="G94">
        <v>245171.85261342098</v>
      </c>
    </row>
    <row r="95" spans="1:7" x14ac:dyDescent="0.35">
      <c r="A95" s="1" t="s">
        <v>93</v>
      </c>
      <c r="B95">
        <v>17244.864000000009</v>
      </c>
      <c r="D95">
        <v>267539.99999999977</v>
      </c>
      <c r="F95">
        <v>227026.79999999981</v>
      </c>
    </row>
    <row r="96" spans="1:7" x14ac:dyDescent="0.35">
      <c r="A96" s="1" t="s">
        <v>94</v>
      </c>
      <c r="B96">
        <v>2.9103830456733704E-11</v>
      </c>
      <c r="D96">
        <v>75847.200000000041</v>
      </c>
      <c r="F96">
        <v>296103.59999999998</v>
      </c>
      <c r="G96">
        <v>29067.519340551255</v>
      </c>
    </row>
    <row r="97" spans="1:7" x14ac:dyDescent="0.35">
      <c r="A97" s="1" t="s">
        <v>95</v>
      </c>
      <c r="B97">
        <v>10608</v>
      </c>
      <c r="C97">
        <v>18303.999999999985</v>
      </c>
      <c r="D97">
        <v>39208</v>
      </c>
      <c r="E97">
        <v>1763756.8</v>
      </c>
      <c r="F97">
        <v>48214.399999999994</v>
      </c>
    </row>
    <row r="98" spans="1:7" x14ac:dyDescent="0.35">
      <c r="A98" s="1" t="s">
        <v>96</v>
      </c>
      <c r="B98">
        <v>113568</v>
      </c>
      <c r="E98">
        <v>490048</v>
      </c>
      <c r="F98">
        <v>221644.79999999999</v>
      </c>
    </row>
    <row r="99" spans="1:7" x14ac:dyDescent="0.35">
      <c r="A99" s="1" t="s">
        <v>97</v>
      </c>
      <c r="B99">
        <v>100339.20000000001</v>
      </c>
      <c r="C99">
        <v>42120</v>
      </c>
      <c r="D99">
        <v>13104.000000000011</v>
      </c>
      <c r="E99">
        <v>2774720</v>
      </c>
      <c r="F99">
        <v>-1.1641532182693481E-10</v>
      </c>
    </row>
    <row r="100" spans="1:7" x14ac:dyDescent="0.35">
      <c r="A100" s="1" t="s">
        <v>98</v>
      </c>
      <c r="B100">
        <v>161740.80000000002</v>
      </c>
      <c r="C100">
        <v>365040</v>
      </c>
      <c r="D100">
        <v>382187.52000000002</v>
      </c>
      <c r="E100">
        <v>1672070.4000000001</v>
      </c>
      <c r="F100">
        <v>350859.6</v>
      </c>
    </row>
    <row r="101" spans="1:7" x14ac:dyDescent="0.35">
      <c r="A101" s="1" t="s">
        <v>99</v>
      </c>
      <c r="C101">
        <v>116480</v>
      </c>
      <c r="D101">
        <v>71385.599999999991</v>
      </c>
      <c r="E101">
        <v>1849536</v>
      </c>
      <c r="F101">
        <v>178139.5199999999</v>
      </c>
      <c r="G101">
        <v>49643.496752408915</v>
      </c>
    </row>
    <row r="102" spans="1:7" x14ac:dyDescent="0.35">
      <c r="A102" s="1" t="s">
        <v>100</v>
      </c>
      <c r="B102">
        <v>117936</v>
      </c>
      <c r="D102">
        <v>-1.4551915228366852E-11</v>
      </c>
      <c r="E102">
        <v>940118.40000000014</v>
      </c>
      <c r="F102">
        <v>198694.08000000002</v>
      </c>
    </row>
    <row r="103" spans="1:7" x14ac:dyDescent="0.35">
      <c r="A103" s="1" t="s">
        <v>101</v>
      </c>
      <c r="B103">
        <v>28959.839999999997</v>
      </c>
      <c r="C103">
        <v>21840</v>
      </c>
      <c r="D103">
        <v>59304.960000000021</v>
      </c>
      <c r="E103">
        <v>292032</v>
      </c>
      <c r="F103">
        <v>253886.88</v>
      </c>
      <c r="G103">
        <v>60226.498581137814</v>
      </c>
    </row>
    <row r="104" spans="1:7" x14ac:dyDescent="0.35">
      <c r="A104" s="1" t="s">
        <v>102</v>
      </c>
      <c r="B104">
        <v>136281.59999999998</v>
      </c>
      <c r="C104">
        <v>33696</v>
      </c>
      <c r="D104">
        <v>40560</v>
      </c>
      <c r="F104">
        <v>33496.320000000051</v>
      </c>
    </row>
    <row r="105" spans="1:7" x14ac:dyDescent="0.35">
      <c r="A105" s="1" t="s">
        <v>103</v>
      </c>
      <c r="B105">
        <v>537264.00000000012</v>
      </c>
      <c r="C105">
        <v>149760</v>
      </c>
      <c r="D105">
        <v>141960.00000000003</v>
      </c>
      <c r="E105">
        <v>1985984</v>
      </c>
      <c r="F105">
        <v>559104</v>
      </c>
    </row>
    <row r="106" spans="1:7" x14ac:dyDescent="0.35">
      <c r="A106" s="1" t="s">
        <v>104</v>
      </c>
      <c r="B106">
        <v>27300</v>
      </c>
      <c r="C106">
        <v>2.9103830456733704E-11</v>
      </c>
      <c r="D106">
        <v>45697.60000000002</v>
      </c>
      <c r="F106">
        <v>96096</v>
      </c>
      <c r="G106">
        <v>17388.04563109552</v>
      </c>
    </row>
    <row r="107" spans="1:7" x14ac:dyDescent="0.35">
      <c r="A107" s="1" t="s">
        <v>105</v>
      </c>
      <c r="B107">
        <v>15774.720000000007</v>
      </c>
      <c r="C107">
        <v>-1.1641532182693481E-10</v>
      </c>
      <c r="E107">
        <v>1476633.6000000001</v>
      </c>
      <c r="G107">
        <v>93477.511941091099</v>
      </c>
    </row>
    <row r="108" spans="1:7" x14ac:dyDescent="0.35">
      <c r="A108" s="1" t="s">
        <v>106</v>
      </c>
      <c r="B108">
        <v>17634.240000000002</v>
      </c>
      <c r="C108">
        <v>125216</v>
      </c>
      <c r="E108">
        <v>74880</v>
      </c>
      <c r="F108">
        <v>247415.99999999988</v>
      </c>
    </row>
    <row r="109" spans="1:7" x14ac:dyDescent="0.35">
      <c r="A109" s="1" t="s">
        <v>107</v>
      </c>
      <c r="B109">
        <v>101665.2</v>
      </c>
      <c r="D109">
        <v>-5.8207660913467407E-11</v>
      </c>
      <c r="E109">
        <v>4644640</v>
      </c>
      <c r="F109">
        <v>985857.59999999986</v>
      </c>
      <c r="G109">
        <v>253271.94790518255</v>
      </c>
    </row>
    <row r="110" spans="1:7" x14ac:dyDescent="0.35">
      <c r="A110" s="1" t="s">
        <v>108</v>
      </c>
      <c r="B110">
        <v>26956.800000000003</v>
      </c>
      <c r="C110">
        <v>93600</v>
      </c>
      <c r="D110">
        <v>104831.99999999997</v>
      </c>
      <c r="F110">
        <v>43392.959999999919</v>
      </c>
      <c r="G110">
        <v>215905.50365332508</v>
      </c>
    </row>
    <row r="111" spans="1:7" x14ac:dyDescent="0.35">
      <c r="A111" s="1" t="s">
        <v>109</v>
      </c>
      <c r="B111">
        <v>167556.48000000004</v>
      </c>
      <c r="C111">
        <v>436800</v>
      </c>
      <c r="D111">
        <v>490100.00000000006</v>
      </c>
      <c r="E111">
        <v>3800160</v>
      </c>
      <c r="F111">
        <v>175084</v>
      </c>
      <c r="G111">
        <v>360974.89790101256</v>
      </c>
    </row>
    <row r="112" spans="1:7" x14ac:dyDescent="0.35">
      <c r="A112" s="1" t="s">
        <v>110</v>
      </c>
      <c r="B112">
        <v>308206.08000000007</v>
      </c>
      <c r="C112">
        <v>2.3283064365386963E-10</v>
      </c>
      <c r="E112">
        <v>7404883.2000000011</v>
      </c>
      <c r="F112">
        <v>412775.99999999965</v>
      </c>
    </row>
    <row r="113" spans="1:7" x14ac:dyDescent="0.35">
      <c r="A113" s="1" t="s">
        <v>111</v>
      </c>
      <c r="B113">
        <v>66393.599999999991</v>
      </c>
      <c r="D113">
        <v>56243.200000000048</v>
      </c>
      <c r="F113">
        <v>237619.19999999995</v>
      </c>
    </row>
    <row r="114" spans="1:7" x14ac:dyDescent="0.35">
      <c r="A114" s="1" t="s">
        <v>112</v>
      </c>
      <c r="B114">
        <v>10501.919999999995</v>
      </c>
      <c r="C114">
        <v>17159.999999999993</v>
      </c>
      <c r="D114">
        <v>79092.000000000029</v>
      </c>
      <c r="E114">
        <v>499075.19999999995</v>
      </c>
      <c r="F114">
        <v>2.9103830456733704E-11</v>
      </c>
      <c r="G114">
        <v>11399.862831910228</v>
      </c>
    </row>
    <row r="115" spans="1:7" x14ac:dyDescent="0.35">
      <c r="A115" s="1" t="s">
        <v>113</v>
      </c>
      <c r="B115">
        <v>26956.800000000003</v>
      </c>
      <c r="C115">
        <v>100671.99999999997</v>
      </c>
      <c r="D115">
        <v>102136.32000000001</v>
      </c>
      <c r="E115">
        <v>7527936</v>
      </c>
      <c r="F115">
        <v>794776.32000000007</v>
      </c>
      <c r="G115">
        <v>211440.50448903939</v>
      </c>
    </row>
    <row r="116" spans="1:7" x14ac:dyDescent="0.35">
      <c r="A116" s="1" t="s">
        <v>114</v>
      </c>
      <c r="B116">
        <v>78624.000000000015</v>
      </c>
      <c r="D116">
        <v>126297.60000000001</v>
      </c>
      <c r="F116">
        <v>444080</v>
      </c>
      <c r="G116">
        <v>120596.52047971461</v>
      </c>
    </row>
    <row r="117" spans="1:7" x14ac:dyDescent="0.35">
      <c r="A117" s="1" t="s">
        <v>115</v>
      </c>
      <c r="B117">
        <v>113218.55999999994</v>
      </c>
      <c r="D117">
        <v>28828.799999999988</v>
      </c>
      <c r="F117">
        <v>33496.320000000051</v>
      </c>
      <c r="G117">
        <v>67184.143024531746</v>
      </c>
    </row>
    <row r="118" spans="1:7" x14ac:dyDescent="0.35">
      <c r="A118" s="1" t="s">
        <v>116</v>
      </c>
      <c r="B118">
        <v>34944</v>
      </c>
      <c r="C118">
        <v>232959.99999999988</v>
      </c>
      <c r="D118">
        <v>64896</v>
      </c>
      <c r="E118">
        <v>1078272</v>
      </c>
      <c r="F118">
        <v>55036.799999999959</v>
      </c>
    </row>
    <row r="119" spans="1:7" x14ac:dyDescent="0.35">
      <c r="A119" s="1" t="s">
        <v>117</v>
      </c>
      <c r="B119">
        <v>55036.800000000003</v>
      </c>
      <c r="C119">
        <v>49140</v>
      </c>
      <c r="D119">
        <v>2.9103830456733704E-11</v>
      </c>
      <c r="E119">
        <v>574516.79999999993</v>
      </c>
      <c r="F119">
        <v>183849.12</v>
      </c>
    </row>
    <row r="120" spans="1:7" x14ac:dyDescent="0.35">
      <c r="A120" s="1" t="s">
        <v>118</v>
      </c>
      <c r="B120">
        <v>286584.48</v>
      </c>
      <c r="E120">
        <v>6671808</v>
      </c>
      <c r="F120">
        <v>48157.199999999953</v>
      </c>
      <c r="G120">
        <v>195822.17958649958</v>
      </c>
    </row>
    <row r="121" spans="1:7" x14ac:dyDescent="0.35">
      <c r="A121" s="1" t="s">
        <v>119</v>
      </c>
      <c r="B121">
        <v>2.9103830456733704E-11</v>
      </c>
      <c r="C121">
        <v>1.4551915228366852E-11</v>
      </c>
      <c r="D121">
        <v>135200</v>
      </c>
      <c r="E121">
        <v>1005888</v>
      </c>
      <c r="F121">
        <v>-2.9103830456733704E-11</v>
      </c>
    </row>
    <row r="122" spans="1:7" x14ac:dyDescent="0.35">
      <c r="A122" s="1" t="s">
        <v>120</v>
      </c>
      <c r="B122">
        <v>85363.200000000012</v>
      </c>
      <c r="D122">
        <v>13178.880000000012</v>
      </c>
      <c r="E122">
        <v>1078105.6000000001</v>
      </c>
      <c r="G122">
        <v>76746.640596979472</v>
      </c>
    </row>
    <row r="123" spans="1:7" x14ac:dyDescent="0.35">
      <c r="A123" s="1" t="s">
        <v>121</v>
      </c>
      <c r="B123">
        <v>96314.400000000023</v>
      </c>
      <c r="C123">
        <v>226512.00000000012</v>
      </c>
      <c r="D123">
        <v>41979.600000000013</v>
      </c>
      <c r="F123">
        <v>548121.60000000021</v>
      </c>
    </row>
    <row r="124" spans="1:7" x14ac:dyDescent="0.35">
      <c r="A124" s="1" t="s">
        <v>122</v>
      </c>
      <c r="B124">
        <v>114004.8</v>
      </c>
      <c r="C124">
        <v>126463.99999999994</v>
      </c>
      <c r="E124">
        <v>1078105.6000000001</v>
      </c>
      <c r="F124">
        <v>685152</v>
      </c>
    </row>
    <row r="125" spans="1:7" x14ac:dyDescent="0.35">
      <c r="A125" s="1" t="s">
        <v>123</v>
      </c>
      <c r="B125">
        <v>143270.40000000008</v>
      </c>
      <c r="C125">
        <v>259584</v>
      </c>
      <c r="D125">
        <v>222576.64000000013</v>
      </c>
      <c r="E125">
        <v>2830464</v>
      </c>
      <c r="F125">
        <v>760032</v>
      </c>
      <c r="G125">
        <v>99704.739478317671</v>
      </c>
    </row>
    <row r="126" spans="1:7" x14ac:dyDescent="0.35">
      <c r="A126" s="1" t="s">
        <v>124</v>
      </c>
      <c r="B126">
        <v>277954.56</v>
      </c>
      <c r="C126">
        <v>-5.8207660913467407E-11</v>
      </c>
      <c r="D126">
        <v>325079.0400000001</v>
      </c>
      <c r="E126">
        <v>5250252.7999999998</v>
      </c>
      <c r="F126">
        <v>109624.32000000007</v>
      </c>
      <c r="G126">
        <v>89394.954084943223</v>
      </c>
    </row>
    <row r="127" spans="1:7" x14ac:dyDescent="0.35">
      <c r="A127" s="1" t="s">
        <v>125</v>
      </c>
      <c r="B127">
        <v>356428.80000000005</v>
      </c>
      <c r="C127">
        <v>28600</v>
      </c>
      <c r="D127">
        <v>336336.00000000012</v>
      </c>
      <c r="E127">
        <v>5335200</v>
      </c>
    </row>
    <row r="128" spans="1:7" x14ac:dyDescent="0.35">
      <c r="A128" s="1" t="s">
        <v>126</v>
      </c>
      <c r="B128">
        <v>6552</v>
      </c>
      <c r="D128">
        <v>60860.800000000017</v>
      </c>
      <c r="E128">
        <v>280800</v>
      </c>
      <c r="F128">
        <v>527435.99999999965</v>
      </c>
    </row>
    <row r="129" spans="1:7" x14ac:dyDescent="0.35">
      <c r="A129" s="1" t="s">
        <v>127</v>
      </c>
      <c r="B129">
        <v>16598.399999999994</v>
      </c>
      <c r="D129">
        <v>29744</v>
      </c>
      <c r="E129">
        <v>814320</v>
      </c>
      <c r="F129">
        <v>230921.60000000003</v>
      </c>
    </row>
    <row r="130" spans="1:7" x14ac:dyDescent="0.35">
      <c r="A130" s="1" t="s">
        <v>128</v>
      </c>
      <c r="B130">
        <v>43680</v>
      </c>
      <c r="C130">
        <v>374400</v>
      </c>
      <c r="D130">
        <v>196768.00000000006</v>
      </c>
      <c r="E130">
        <v>5197088</v>
      </c>
      <c r="F130">
        <v>1294175.9999999995</v>
      </c>
    </row>
    <row r="131" spans="1:7" x14ac:dyDescent="0.35">
      <c r="A131" s="1" t="s">
        <v>129</v>
      </c>
      <c r="B131">
        <v>70574.400000000023</v>
      </c>
      <c r="C131">
        <v>75816.000000000116</v>
      </c>
      <c r="D131">
        <v>4392.9600000000228</v>
      </c>
      <c r="E131">
        <v>6507321.5999999996</v>
      </c>
      <c r="F131">
        <v>-2.3283064365386963E-10</v>
      </c>
      <c r="G131">
        <v>71467.162061895127</v>
      </c>
    </row>
    <row r="132" spans="1:7" x14ac:dyDescent="0.35">
      <c r="A132" s="1" t="s">
        <v>130</v>
      </c>
      <c r="B132">
        <v>47174.399999999994</v>
      </c>
      <c r="C132">
        <v>74256.000000000058</v>
      </c>
      <c r="E132">
        <v>1074236.8000000003</v>
      </c>
      <c r="G132">
        <v>92088.788932005176</v>
      </c>
    </row>
    <row r="133" spans="1:7" x14ac:dyDescent="0.35">
      <c r="A133" s="1" t="s">
        <v>131</v>
      </c>
      <c r="C133">
        <v>28080</v>
      </c>
      <c r="D133">
        <v>22750</v>
      </c>
      <c r="E133">
        <v>709280</v>
      </c>
      <c r="F133">
        <v>2918.239999999977</v>
      </c>
      <c r="G133">
        <v>1.4551915228366852E-11</v>
      </c>
    </row>
    <row r="134" spans="1:7" x14ac:dyDescent="0.35">
      <c r="A134" s="1" t="s">
        <v>132</v>
      </c>
      <c r="B134">
        <v>1.1641532182693481E-10</v>
      </c>
      <c r="C134">
        <v>46800</v>
      </c>
      <c r="D134">
        <v>26208.000000000022</v>
      </c>
      <c r="E134">
        <v>9156576</v>
      </c>
      <c r="F134">
        <v>294840</v>
      </c>
      <c r="G134">
        <v>165544.92210061828</v>
      </c>
    </row>
    <row r="135" spans="1:7" x14ac:dyDescent="0.35">
      <c r="A135" s="1" t="s">
        <v>133</v>
      </c>
      <c r="B135">
        <v>209664.00000000012</v>
      </c>
      <c r="C135">
        <v>1.1641532182693481E-10</v>
      </c>
      <c r="D135">
        <v>416416.00000000017</v>
      </c>
      <c r="E135">
        <v>9060480</v>
      </c>
      <c r="F135">
        <v>390790.40000000002</v>
      </c>
      <c r="G135">
        <v>156880.74830543</v>
      </c>
    </row>
    <row r="136" spans="1:7" x14ac:dyDescent="0.35">
      <c r="A136" s="1" t="s">
        <v>134</v>
      </c>
      <c r="D136">
        <v>59304.960000000006</v>
      </c>
      <c r="G136">
        <v>16406.384576909186</v>
      </c>
    </row>
    <row r="137" spans="1:7" x14ac:dyDescent="0.35">
      <c r="A137" s="1" t="s">
        <v>135</v>
      </c>
      <c r="B137">
        <v>6971.328000000005</v>
      </c>
      <c r="C137">
        <v>10192</v>
      </c>
      <c r="E137">
        <v>294840</v>
      </c>
      <c r="F137">
        <v>116188.79999999999</v>
      </c>
      <c r="G137">
        <v>18699.527470816894</v>
      </c>
    </row>
    <row r="138" spans="1:7" x14ac:dyDescent="0.35">
      <c r="A138" s="1" t="s">
        <v>136</v>
      </c>
      <c r="B138">
        <v>228009.59999999998</v>
      </c>
      <c r="C138">
        <v>108836</v>
      </c>
      <c r="D138">
        <v>278241.60000000009</v>
      </c>
      <c r="E138">
        <v>1748073.6</v>
      </c>
      <c r="G138">
        <v>199899.73826072254</v>
      </c>
    </row>
    <row r="139" spans="1:7" x14ac:dyDescent="0.35">
      <c r="A139" s="1" t="s">
        <v>137</v>
      </c>
      <c r="B139">
        <v>20217.599999999999</v>
      </c>
      <c r="C139">
        <v>103740</v>
      </c>
      <c r="D139">
        <v>10920</v>
      </c>
      <c r="F139">
        <v>142359.35999999993</v>
      </c>
    </row>
    <row r="140" spans="1:7" x14ac:dyDescent="0.35">
      <c r="A140" s="1" t="s">
        <v>138</v>
      </c>
      <c r="B140">
        <v>111702.24000000002</v>
      </c>
      <c r="C140">
        <v>-5.8207660913467407E-11</v>
      </c>
      <c r="D140">
        <v>71385.599999999991</v>
      </c>
      <c r="E140">
        <v>638352</v>
      </c>
    </row>
    <row r="141" spans="1:7" x14ac:dyDescent="0.35">
      <c r="A141" s="1" t="s">
        <v>139</v>
      </c>
      <c r="B141">
        <v>14117.375999999989</v>
      </c>
      <c r="C141">
        <v>74879.999999999971</v>
      </c>
      <c r="D141">
        <v>69189.120000000024</v>
      </c>
      <c r="E141">
        <v>6582118.4000000004</v>
      </c>
      <c r="G141">
        <v>50991.166218609957</v>
      </c>
    </row>
    <row r="142" spans="1:7" x14ac:dyDescent="0.35">
      <c r="A142" s="1" t="s">
        <v>140</v>
      </c>
      <c r="B142">
        <v>50319.360000000008</v>
      </c>
      <c r="C142">
        <v>49504</v>
      </c>
      <c r="E142">
        <v>197849.60000000001</v>
      </c>
      <c r="F142">
        <v>133910.39999999999</v>
      </c>
    </row>
    <row r="143" spans="1:7" x14ac:dyDescent="0.35">
      <c r="A143" s="1" t="s">
        <v>141</v>
      </c>
      <c r="B143">
        <v>155750.40000000002</v>
      </c>
      <c r="C143">
        <v>29952</v>
      </c>
      <c r="D143">
        <v>270400</v>
      </c>
      <c r="E143">
        <v>2316288</v>
      </c>
      <c r="F143">
        <v>238492.79999999993</v>
      </c>
      <c r="G143">
        <v>106281.87121556276</v>
      </c>
    </row>
    <row r="144" spans="1:7" x14ac:dyDescent="0.35">
      <c r="A144" s="1" t="s">
        <v>142</v>
      </c>
      <c r="C144">
        <v>-5.8207660913467407E-11</v>
      </c>
      <c r="D144">
        <v>125465.60000000003</v>
      </c>
      <c r="E144">
        <v>4766361.6000000015</v>
      </c>
      <c r="F144">
        <v>203174.39999999994</v>
      </c>
      <c r="G144">
        <v>52627.758614195191</v>
      </c>
    </row>
    <row r="145" spans="1:7" x14ac:dyDescent="0.35">
      <c r="A145" s="1" t="s">
        <v>143</v>
      </c>
      <c r="B145">
        <v>28654.079999999958</v>
      </c>
      <c r="C145">
        <v>123551.99999999994</v>
      </c>
      <c r="E145">
        <v>180544</v>
      </c>
      <c r="F145">
        <v>-1.4551915228366852E-11</v>
      </c>
      <c r="G145">
        <v>152366.45873312291</v>
      </c>
    </row>
    <row r="146" spans="1:7" x14ac:dyDescent="0.35">
      <c r="A146" s="1" t="s">
        <v>144</v>
      </c>
      <c r="B146">
        <v>13977.600000000004</v>
      </c>
      <c r="C146">
        <v>33592</v>
      </c>
      <c r="D146">
        <v>96532.800000000017</v>
      </c>
      <c r="E146">
        <v>1114214.4000000001</v>
      </c>
      <c r="G146">
        <v>43147.171523539248</v>
      </c>
    </row>
    <row r="147" spans="1:7" x14ac:dyDescent="0.35">
      <c r="A147" s="1" t="s">
        <v>145</v>
      </c>
      <c r="B147">
        <v>84564.48000000004</v>
      </c>
      <c r="C147">
        <v>50544</v>
      </c>
      <c r="D147">
        <v>178464.00000000012</v>
      </c>
      <c r="E147">
        <v>3773952</v>
      </c>
      <c r="F147">
        <v>424819.20000000001</v>
      </c>
    </row>
    <row r="148" spans="1:7" x14ac:dyDescent="0.35">
      <c r="A148" s="1" t="s">
        <v>146</v>
      </c>
      <c r="B148">
        <v>405600</v>
      </c>
      <c r="C148">
        <v>91519.999999999942</v>
      </c>
      <c r="D148">
        <v>17937.919999999991</v>
      </c>
      <c r="E148">
        <v>2156544</v>
      </c>
      <c r="F148">
        <v>-4.6566128730773926E-10</v>
      </c>
      <c r="G148">
        <v>110651.70072034714</v>
      </c>
    </row>
    <row r="149" spans="1:7" x14ac:dyDescent="0.35">
      <c r="A149" s="1" t="s">
        <v>147</v>
      </c>
      <c r="B149">
        <v>135720.00000000003</v>
      </c>
      <c r="C149">
        <v>112320</v>
      </c>
      <c r="D149">
        <v>137092.80000000002</v>
      </c>
      <c r="E149">
        <v>365040</v>
      </c>
      <c r="G149">
        <v>-1.4551915228366852E-11</v>
      </c>
    </row>
    <row r="150" spans="1:7" x14ac:dyDescent="0.35">
      <c r="A150" s="1" t="s">
        <v>148</v>
      </c>
      <c r="B150">
        <v>7757.568000000012</v>
      </c>
      <c r="C150">
        <v>79040</v>
      </c>
      <c r="D150">
        <v>15288</v>
      </c>
      <c r="E150">
        <v>658944</v>
      </c>
      <c r="F150">
        <v>461760</v>
      </c>
    </row>
    <row r="151" spans="1:7" x14ac:dyDescent="0.35">
      <c r="A151" s="1" t="s">
        <v>149</v>
      </c>
      <c r="B151">
        <v>239715.84000000005</v>
      </c>
      <c r="C151">
        <v>43315.999999999985</v>
      </c>
      <c r="D151">
        <v>367676.4</v>
      </c>
    </row>
    <row r="152" spans="1:7" x14ac:dyDescent="0.35">
      <c r="A152" s="1" t="s">
        <v>150</v>
      </c>
      <c r="B152">
        <v>171225.60000000003</v>
      </c>
      <c r="C152">
        <v>-1.1641532182693481E-10</v>
      </c>
      <c r="D152">
        <v>584064</v>
      </c>
      <c r="E152">
        <v>2940288</v>
      </c>
      <c r="F152">
        <v>42631.679999999957</v>
      </c>
      <c r="G152">
        <v>183114.62755563064</v>
      </c>
    </row>
    <row r="153" spans="1:7" x14ac:dyDescent="0.35">
      <c r="A153" s="1" t="s">
        <v>151</v>
      </c>
      <c r="B153">
        <v>27955.199999999997</v>
      </c>
      <c r="C153">
        <v>43680</v>
      </c>
      <c r="D153">
        <v>425204.00000000006</v>
      </c>
      <c r="E153">
        <v>3288480</v>
      </c>
    </row>
    <row r="154" spans="1:7" x14ac:dyDescent="0.35">
      <c r="A154" s="1" t="s">
        <v>152</v>
      </c>
      <c r="B154">
        <v>63073.919999999998</v>
      </c>
      <c r="C154">
        <v>75503.999999999971</v>
      </c>
      <c r="D154">
        <v>26769.60000000002</v>
      </c>
      <c r="E154">
        <v>6080256</v>
      </c>
      <c r="F154">
        <v>150841.5999999998</v>
      </c>
      <c r="G154">
        <v>60446.887303685508</v>
      </c>
    </row>
    <row r="155" spans="1:7" x14ac:dyDescent="0.35">
      <c r="A155" s="1" t="s">
        <v>153</v>
      </c>
      <c r="B155">
        <v>51168.000000000015</v>
      </c>
      <c r="C155">
        <v>335400</v>
      </c>
      <c r="E155">
        <v>2195648</v>
      </c>
      <c r="F155">
        <v>131039.99999999991</v>
      </c>
    </row>
    <row r="156" spans="1:7" x14ac:dyDescent="0.35">
      <c r="A156" s="1" t="s">
        <v>154</v>
      </c>
      <c r="B156">
        <v>8236.8000000000029</v>
      </c>
      <c r="D156">
        <v>47455.19999999999</v>
      </c>
      <c r="F156">
        <v>193939.19999999995</v>
      </c>
      <c r="G156">
        <v>99091.916208690469</v>
      </c>
    </row>
    <row r="157" spans="1:7" x14ac:dyDescent="0.35">
      <c r="A157" s="1" t="s">
        <v>155</v>
      </c>
      <c r="B157">
        <v>229320.00000000006</v>
      </c>
      <c r="C157">
        <v>29952</v>
      </c>
      <c r="D157">
        <v>76658.400000000023</v>
      </c>
      <c r="E157">
        <v>1446931.2000000002</v>
      </c>
      <c r="F157">
        <v>311688</v>
      </c>
      <c r="G157">
        <v>141815.33985676835</v>
      </c>
    </row>
    <row r="158" spans="1:7" x14ac:dyDescent="0.35">
      <c r="A158" s="1" t="s">
        <v>156</v>
      </c>
      <c r="B158">
        <v>336960.00000000012</v>
      </c>
      <c r="D158">
        <v>1.1641532182693481E-10</v>
      </c>
      <c r="E158">
        <v>3931200</v>
      </c>
      <c r="F158">
        <v>-2.3283064365386963E-10</v>
      </c>
      <c r="G158">
        <v>101039.76896292969</v>
      </c>
    </row>
    <row r="159" spans="1:7" x14ac:dyDescent="0.35">
      <c r="A159" s="1" t="s">
        <v>157</v>
      </c>
      <c r="B159">
        <v>40543.775999999983</v>
      </c>
      <c r="C159">
        <v>174407.99999999994</v>
      </c>
      <c r="D159">
        <v>3706.5600000000231</v>
      </c>
      <c r="E159">
        <v>926515.19999999995</v>
      </c>
      <c r="F159">
        <v>300144</v>
      </c>
    </row>
    <row r="160" spans="1:7" x14ac:dyDescent="0.35">
      <c r="A160" s="1" t="s">
        <v>158</v>
      </c>
      <c r="B160">
        <v>55036.800000000003</v>
      </c>
      <c r="C160">
        <v>-5.8207660913467407E-11</v>
      </c>
      <c r="D160">
        <v>160888</v>
      </c>
      <c r="F160">
        <v>40601.600000000006</v>
      </c>
    </row>
    <row r="161" spans="1:7" x14ac:dyDescent="0.35">
      <c r="A161" s="1" t="s">
        <v>159</v>
      </c>
      <c r="B161">
        <v>15163.199999999997</v>
      </c>
      <c r="C161">
        <v>314496.00000000023</v>
      </c>
      <c r="D161">
        <v>20966.400000000023</v>
      </c>
      <c r="E161">
        <v>6297408</v>
      </c>
      <c r="G161">
        <v>253608.55591087419</v>
      </c>
    </row>
    <row r="162" spans="1:7" x14ac:dyDescent="0.35">
      <c r="A162" s="1" t="s">
        <v>160</v>
      </c>
      <c r="B162">
        <v>2184</v>
      </c>
      <c r="C162">
        <v>65520</v>
      </c>
      <c r="D162">
        <v>-5.8207660913467407E-11</v>
      </c>
      <c r="E162">
        <v>610438.40000000002</v>
      </c>
      <c r="F162">
        <v>103026.55999999997</v>
      </c>
      <c r="G162">
        <v>-2.9103830456733704E-11</v>
      </c>
    </row>
    <row r="163" spans="1:7" x14ac:dyDescent="0.35">
      <c r="A163" s="1" t="s">
        <v>161</v>
      </c>
      <c r="B163">
        <v>19219.199999999997</v>
      </c>
      <c r="D163">
        <v>33196.799999999974</v>
      </c>
      <c r="F163">
        <v>58364.800000000003</v>
      </c>
    </row>
    <row r="164" spans="1:7" x14ac:dyDescent="0.35">
      <c r="A164" s="1" t="s">
        <v>162</v>
      </c>
      <c r="B164">
        <v>241612.80000000005</v>
      </c>
      <c r="C164">
        <v>-2.9103830456733704E-11</v>
      </c>
      <c r="D164">
        <v>311534.08000000019</v>
      </c>
      <c r="E164">
        <v>216652.80000000005</v>
      </c>
      <c r="F164">
        <v>329888.00000000006</v>
      </c>
    </row>
    <row r="165" spans="1:7" x14ac:dyDescent="0.35">
      <c r="A165" s="1" t="s">
        <v>163</v>
      </c>
      <c r="B165">
        <v>86958.144000000029</v>
      </c>
      <c r="C165">
        <v>-1.4551915228366852E-11</v>
      </c>
      <c r="D165">
        <v>130603.20000000006</v>
      </c>
      <c r="E165">
        <v>340454.40000000002</v>
      </c>
      <c r="F165">
        <v>398034.00000000023</v>
      </c>
    </row>
    <row r="166" spans="1:7" x14ac:dyDescent="0.35">
      <c r="A166" s="1" t="s">
        <v>164</v>
      </c>
      <c r="B166">
        <v>30201.600000000006</v>
      </c>
      <c r="D166">
        <v>-7.2759576141834259E-12</v>
      </c>
      <c r="E166">
        <v>24502.400000000001</v>
      </c>
      <c r="F166">
        <v>26644.800000000003</v>
      </c>
      <c r="G166">
        <v>13526.990354264562</v>
      </c>
    </row>
    <row r="167" spans="1:7" x14ac:dyDescent="0.35">
      <c r="A167" s="1" t="s">
        <v>165</v>
      </c>
      <c r="B167">
        <v>23356.32</v>
      </c>
      <c r="C167">
        <v>37751.999999999985</v>
      </c>
      <c r="D167">
        <v>45302.400000000038</v>
      </c>
      <c r="E167">
        <v>67059.199999999997</v>
      </c>
      <c r="F167">
        <v>69910.87999999999</v>
      </c>
      <c r="G167">
        <v>39493.9035030874</v>
      </c>
    </row>
    <row r="168" spans="1:7" x14ac:dyDescent="0.35">
      <c r="A168" s="1" t="s">
        <v>166</v>
      </c>
      <c r="B168">
        <v>6289.9199999999983</v>
      </c>
      <c r="D168">
        <v>35152</v>
      </c>
    </row>
    <row r="169" spans="1:7" x14ac:dyDescent="0.35">
      <c r="A169" s="1" t="s">
        <v>167</v>
      </c>
      <c r="B169">
        <v>7488</v>
      </c>
      <c r="C169">
        <v>19447.999999999993</v>
      </c>
      <c r="E169">
        <v>1088172.8</v>
      </c>
      <c r="F169">
        <v>1.4551915228366852E-11</v>
      </c>
    </row>
    <row r="170" spans="1:7" x14ac:dyDescent="0.35">
      <c r="A170" s="1" t="s">
        <v>168</v>
      </c>
      <c r="B170">
        <v>23063.040000000001</v>
      </c>
      <c r="C170">
        <v>15807.999999999993</v>
      </c>
      <c r="E170">
        <v>265408</v>
      </c>
      <c r="F170">
        <v>145454.39999999997</v>
      </c>
    </row>
    <row r="171" spans="1:7" x14ac:dyDescent="0.35">
      <c r="A171" s="1" t="s">
        <v>169</v>
      </c>
      <c r="B171">
        <v>126846.72000000003</v>
      </c>
      <c r="C171">
        <v>137280</v>
      </c>
      <c r="D171">
        <v>41733.12000000001</v>
      </c>
      <c r="E171">
        <v>393120</v>
      </c>
      <c r="F171">
        <v>517171.1999999999</v>
      </c>
    </row>
    <row r="172" spans="1:7" x14ac:dyDescent="0.35">
      <c r="A172" s="1" t="s">
        <v>170</v>
      </c>
      <c r="B172">
        <v>90604.799999999988</v>
      </c>
      <c r="C172">
        <v>292032</v>
      </c>
      <c r="D172">
        <v>24336</v>
      </c>
      <c r="F172">
        <v>204422.40000000002</v>
      </c>
      <c r="G172">
        <v>176180.82209306222</v>
      </c>
    </row>
    <row r="173" spans="1:7" x14ac:dyDescent="0.35">
      <c r="A173" s="1" t="s">
        <v>171</v>
      </c>
      <c r="B173">
        <v>17035.199999999975</v>
      </c>
      <c r="C173">
        <v>13728.000000000058</v>
      </c>
      <c r="E173">
        <v>675792</v>
      </c>
    </row>
    <row r="174" spans="1:7" x14ac:dyDescent="0.35">
      <c r="A174" s="1" t="s">
        <v>172</v>
      </c>
      <c r="B174">
        <v>1.1641532182693481E-10</v>
      </c>
      <c r="C174">
        <v>34320</v>
      </c>
      <c r="D174">
        <v>17836.000000000007</v>
      </c>
      <c r="F174">
        <v>294361.60000000003</v>
      </c>
      <c r="G174">
        <v>166099.2327778007</v>
      </c>
    </row>
    <row r="175" spans="1:7" x14ac:dyDescent="0.35">
      <c r="A175" s="1" t="s">
        <v>173</v>
      </c>
      <c r="E175">
        <v>786240</v>
      </c>
      <c r="F175">
        <v>56842.239999999991</v>
      </c>
      <c r="G175">
        <v>74149.249113457903</v>
      </c>
    </row>
    <row r="176" spans="1:7" x14ac:dyDescent="0.35">
      <c r="A176" s="1" t="s">
        <v>174</v>
      </c>
      <c r="B176">
        <v>87141.6</v>
      </c>
      <c r="C176">
        <v>152152.00000000006</v>
      </c>
      <c r="D176">
        <v>84848.400000000023</v>
      </c>
      <c r="E176">
        <v>4855760</v>
      </c>
      <c r="F176">
        <v>124342.40000000002</v>
      </c>
      <c r="G176">
        <v>124550.69515922586</v>
      </c>
    </row>
    <row r="177" spans="1:7" x14ac:dyDescent="0.35">
      <c r="A177" s="1" t="s">
        <v>175</v>
      </c>
      <c r="B177">
        <v>90604.800000000017</v>
      </c>
      <c r="D177">
        <v>55644.160000000033</v>
      </c>
      <c r="E177">
        <v>212326.40000000002</v>
      </c>
      <c r="F177">
        <v>202675.19999999995</v>
      </c>
    </row>
    <row r="178" spans="1:7" x14ac:dyDescent="0.35">
      <c r="A178" s="1" t="s">
        <v>176</v>
      </c>
      <c r="D178">
        <v>39312</v>
      </c>
      <c r="E178">
        <v>1357948.8</v>
      </c>
    </row>
    <row r="179" spans="1:7" x14ac:dyDescent="0.35">
      <c r="A179" s="1" t="s">
        <v>177</v>
      </c>
      <c r="B179">
        <v>157684.79999999999</v>
      </c>
      <c r="C179">
        <v>-2.3283064365386963E-10</v>
      </c>
      <c r="D179">
        <v>108836.00000000001</v>
      </c>
      <c r="E179">
        <v>1392768.0000000002</v>
      </c>
      <c r="F179">
        <v>88816</v>
      </c>
    </row>
    <row r="180" spans="1:7" x14ac:dyDescent="0.35">
      <c r="A180" s="1" t="s">
        <v>178</v>
      </c>
      <c r="B180">
        <v>461260.80000000016</v>
      </c>
      <c r="D180">
        <v>333132.80000000005</v>
      </c>
      <c r="E180">
        <v>7802995.2000000011</v>
      </c>
      <c r="F180">
        <v>58618.559999999969</v>
      </c>
      <c r="G180">
        <v>138959.16365121558</v>
      </c>
    </row>
    <row r="181" spans="1:7" x14ac:dyDescent="0.35">
      <c r="A181" s="1" t="s">
        <v>179</v>
      </c>
      <c r="B181">
        <v>70031.520000000004</v>
      </c>
      <c r="C181">
        <v>17940</v>
      </c>
      <c r="E181">
        <v>724464</v>
      </c>
      <c r="F181">
        <v>-7.2759576141834259E-12</v>
      </c>
      <c r="G181">
        <v>21096.889767113025</v>
      </c>
    </row>
    <row r="182" spans="1:7" x14ac:dyDescent="0.35">
      <c r="A182" s="1" t="s">
        <v>180</v>
      </c>
      <c r="B182">
        <v>138378.24000000002</v>
      </c>
      <c r="C182">
        <v>140399.99999999994</v>
      </c>
      <c r="D182">
        <v>58389.760000000024</v>
      </c>
      <c r="E182">
        <v>46425.600000000006</v>
      </c>
    </row>
    <row r="183" spans="1:7" x14ac:dyDescent="0.35">
      <c r="A183" s="1" t="s">
        <v>181</v>
      </c>
      <c r="B183">
        <v>223921.15200000003</v>
      </c>
      <c r="C183">
        <v>442728</v>
      </c>
      <c r="D183">
        <v>222393.59999999998</v>
      </c>
      <c r="F183">
        <v>1246752</v>
      </c>
    </row>
    <row r="184" spans="1:7" x14ac:dyDescent="0.35">
      <c r="A184" s="1" t="s">
        <v>182</v>
      </c>
      <c r="C184">
        <v>79872</v>
      </c>
      <c r="D184">
        <v>57657.599999999948</v>
      </c>
      <c r="E184">
        <v>6132672</v>
      </c>
      <c r="F184">
        <v>636430.07999999984</v>
      </c>
    </row>
    <row r="185" spans="1:7" x14ac:dyDescent="0.35">
      <c r="A185" s="1" t="s">
        <v>183</v>
      </c>
      <c r="B185">
        <v>11007.359999999986</v>
      </c>
      <c r="C185">
        <v>1.1641532182693481E-10</v>
      </c>
      <c r="D185">
        <v>35672</v>
      </c>
      <c r="E185">
        <v>5280912</v>
      </c>
      <c r="F185">
        <v>183164.7999999999</v>
      </c>
      <c r="G185">
        <v>114476.81115853955</v>
      </c>
    </row>
    <row r="186" spans="1:7" x14ac:dyDescent="0.35">
      <c r="A186" s="1" t="s">
        <v>184</v>
      </c>
      <c r="B186">
        <v>32853.599999999999</v>
      </c>
      <c r="C186">
        <v>65000</v>
      </c>
      <c r="F186">
        <v>571428</v>
      </c>
      <c r="G186">
        <v>220682.52205173601</v>
      </c>
    </row>
    <row r="187" spans="1:7" x14ac:dyDescent="0.35">
      <c r="A187" s="1" t="s">
        <v>185</v>
      </c>
      <c r="C187">
        <v>21840</v>
      </c>
      <c r="E187">
        <v>103168</v>
      </c>
    </row>
    <row r="188" spans="1:7" x14ac:dyDescent="0.35">
      <c r="A188" s="1" t="s">
        <v>186</v>
      </c>
      <c r="B188">
        <v>41932.800000000003</v>
      </c>
      <c r="C188">
        <v>82367.999999999971</v>
      </c>
      <c r="D188">
        <v>-7.2759576141834259E-12</v>
      </c>
      <c r="E188">
        <v>243734.39999999997</v>
      </c>
      <c r="F188">
        <v>125611.19999999995</v>
      </c>
    </row>
    <row r="189" spans="1:7" x14ac:dyDescent="0.35">
      <c r="A189" s="1" t="s">
        <v>187</v>
      </c>
      <c r="B189">
        <v>76752</v>
      </c>
      <c r="C189">
        <v>358800.00000000023</v>
      </c>
      <c r="D189">
        <v>750360</v>
      </c>
      <c r="E189">
        <v>5166720</v>
      </c>
      <c r="F189">
        <v>253760</v>
      </c>
      <c r="G189">
        <v>366569.37553476344</v>
      </c>
    </row>
    <row r="190" spans="1:7" x14ac:dyDescent="0.35">
      <c r="A190" s="1" t="s">
        <v>188</v>
      </c>
      <c r="B190">
        <v>7488</v>
      </c>
      <c r="D190">
        <v>3111.679999999953</v>
      </c>
      <c r="F190">
        <v>51651.599999999962</v>
      </c>
      <c r="G190">
        <v>14167.46605759488</v>
      </c>
    </row>
    <row r="191" spans="1:7" x14ac:dyDescent="0.35">
      <c r="A191" s="1" t="s">
        <v>189</v>
      </c>
      <c r="B191">
        <v>17846.400000000001</v>
      </c>
      <c r="D191">
        <v>-9.0949470177292824E-13</v>
      </c>
      <c r="E191">
        <v>3868.8</v>
      </c>
      <c r="F191">
        <v>23345.919999999991</v>
      </c>
    </row>
    <row r="192" spans="1:7" x14ac:dyDescent="0.35">
      <c r="A192" s="1" t="s">
        <v>190</v>
      </c>
      <c r="B192">
        <v>31842.720000000001</v>
      </c>
      <c r="C192">
        <v>-1.8189894035458565E-12</v>
      </c>
    </row>
    <row r="193" spans="1:7" x14ac:dyDescent="0.35">
      <c r="A193" s="1" t="s">
        <v>191</v>
      </c>
      <c r="B193">
        <v>46213.440000000002</v>
      </c>
      <c r="D193">
        <v>19000.799999999996</v>
      </c>
      <c r="F193">
        <v>42631.68</v>
      </c>
    </row>
    <row r="194" spans="1:7" x14ac:dyDescent="0.35">
      <c r="A194" s="1" t="s">
        <v>192</v>
      </c>
      <c r="B194">
        <v>271252.8000000001</v>
      </c>
      <c r="D194">
        <v>10890.880000000005</v>
      </c>
      <c r="E194">
        <v>2802945.6000000006</v>
      </c>
      <c r="F194">
        <v>342451.19999999972</v>
      </c>
    </row>
    <row r="195" spans="1:7" x14ac:dyDescent="0.35">
      <c r="A195" s="1" t="s">
        <v>193</v>
      </c>
      <c r="B195">
        <v>149385.60000000003</v>
      </c>
      <c r="D195">
        <v>401544.00000000006</v>
      </c>
      <c r="E195">
        <v>1021363.2</v>
      </c>
      <c r="F195">
        <v>356279.04000000004</v>
      </c>
    </row>
    <row r="196" spans="1:7" x14ac:dyDescent="0.35">
      <c r="A196" s="1" t="s">
        <v>194</v>
      </c>
      <c r="B196">
        <v>6739.1999999999771</v>
      </c>
      <c r="D196">
        <v>83574.399999999965</v>
      </c>
      <c r="E196">
        <v>1351168</v>
      </c>
      <c r="F196">
        <v>914284.79999999993</v>
      </c>
      <c r="G196">
        <v>160047.13467712575</v>
      </c>
    </row>
    <row r="197" spans="1:7" x14ac:dyDescent="0.35">
      <c r="A197" s="1" t="s">
        <v>195</v>
      </c>
      <c r="B197">
        <v>34804.224000000002</v>
      </c>
      <c r="D197">
        <v>167207.04000000004</v>
      </c>
      <c r="E197">
        <v>280488</v>
      </c>
      <c r="F197">
        <v>318037.2</v>
      </c>
      <c r="G197">
        <v>37964.292577433764</v>
      </c>
    </row>
    <row r="198" spans="1:7" x14ac:dyDescent="0.35">
      <c r="A198" s="1" t="s">
        <v>196</v>
      </c>
      <c r="D198">
        <v>9100.0000000000036</v>
      </c>
      <c r="E198">
        <v>954304</v>
      </c>
      <c r="F198">
        <v>131039.99999999997</v>
      </c>
    </row>
    <row r="199" spans="1:7" x14ac:dyDescent="0.35">
      <c r="A199" s="1" t="s">
        <v>197</v>
      </c>
      <c r="B199">
        <v>76377.600000000006</v>
      </c>
      <c r="C199">
        <v>129168.00000000006</v>
      </c>
      <c r="D199">
        <v>-3.637978807091713E-12</v>
      </c>
      <c r="E199">
        <v>52228.800000000003</v>
      </c>
      <c r="F199">
        <v>320118.23999999993</v>
      </c>
      <c r="G199">
        <v>24759.447597007063</v>
      </c>
    </row>
    <row r="200" spans="1:7" x14ac:dyDescent="0.35">
      <c r="A200" s="1" t="s">
        <v>198</v>
      </c>
      <c r="B200">
        <v>41277.600000000006</v>
      </c>
      <c r="C200">
        <v>288288.00000000012</v>
      </c>
      <c r="D200">
        <v>44478.720000000001</v>
      </c>
      <c r="E200">
        <v>2122848</v>
      </c>
      <c r="G200">
        <v>298760.07040597528</v>
      </c>
    </row>
    <row r="201" spans="1:7" x14ac:dyDescent="0.35">
      <c r="A201" s="1" t="s">
        <v>199</v>
      </c>
      <c r="B201">
        <v>4193.279999999997</v>
      </c>
      <c r="D201">
        <v>32515.600000000002</v>
      </c>
      <c r="E201">
        <v>270816</v>
      </c>
      <c r="G201">
        <v>-5.8207660913467407E-11</v>
      </c>
    </row>
    <row r="202" spans="1:7" x14ac:dyDescent="0.35">
      <c r="A202" s="1" t="s">
        <v>200</v>
      </c>
      <c r="B202">
        <v>347343.36000000004</v>
      </c>
      <c r="D202">
        <v>66502.800000000017</v>
      </c>
      <c r="E202">
        <v>2533440</v>
      </c>
      <c r="F202">
        <v>39079.039999999972</v>
      </c>
      <c r="G202">
        <v>85732.542708965018</v>
      </c>
    </row>
    <row r="203" spans="1:7" x14ac:dyDescent="0.35">
      <c r="A203" s="1" t="s">
        <v>201</v>
      </c>
      <c r="B203">
        <v>46425.599999999977</v>
      </c>
      <c r="D203">
        <v>55972.800000000017</v>
      </c>
      <c r="F203">
        <v>647992.80000000028</v>
      </c>
      <c r="G203">
        <v>-5.8207660913467407E-11</v>
      </c>
    </row>
    <row r="204" spans="1:7" x14ac:dyDescent="0.35">
      <c r="A204" s="1" t="s">
        <v>202</v>
      </c>
      <c r="D204">
        <v>76658.400000000023</v>
      </c>
      <c r="G204">
        <v>165893.77326757577</v>
      </c>
    </row>
    <row r="205" spans="1:7" x14ac:dyDescent="0.35">
      <c r="A205" s="1" t="s">
        <v>203</v>
      </c>
      <c r="B205">
        <v>32572.799999999996</v>
      </c>
      <c r="C205">
        <v>85175.999999999971</v>
      </c>
      <c r="D205">
        <v>227335.68000000005</v>
      </c>
      <c r="E205">
        <v>1910937.6000000001</v>
      </c>
      <c r="F205">
        <v>346320</v>
      </c>
      <c r="G205">
        <v>82063.102382795943</v>
      </c>
    </row>
    <row r="206" spans="1:7" x14ac:dyDescent="0.35">
      <c r="A206" s="1" t="s">
        <v>204</v>
      </c>
      <c r="B206">
        <v>118404.00000000001</v>
      </c>
      <c r="D206">
        <v>416416.00000000023</v>
      </c>
      <c r="F206">
        <v>515132.79999999993</v>
      </c>
      <c r="G206">
        <v>117787.20281847134</v>
      </c>
    </row>
    <row r="207" spans="1:7" x14ac:dyDescent="0.35">
      <c r="A207" s="1" t="s">
        <v>205</v>
      </c>
      <c r="D207">
        <v>5.8207660913467407E-11</v>
      </c>
      <c r="E207">
        <v>2802945.6000000006</v>
      </c>
      <c r="F207">
        <v>47960.640000000087</v>
      </c>
    </row>
    <row r="208" spans="1:7" x14ac:dyDescent="0.35">
      <c r="A208" s="1" t="s">
        <v>206</v>
      </c>
      <c r="B208">
        <v>93300.48000000001</v>
      </c>
      <c r="C208">
        <v>85800</v>
      </c>
      <c r="D208">
        <v>681408.00000000023</v>
      </c>
      <c r="E208">
        <v>6514560</v>
      </c>
      <c r="F208">
        <v>60902.400000000009</v>
      </c>
      <c r="G208">
        <v>132859.61593358326</v>
      </c>
    </row>
    <row r="209" spans="1:7" x14ac:dyDescent="0.35">
      <c r="A209" s="1" t="s">
        <v>207</v>
      </c>
      <c r="B209">
        <v>120556.79999999999</v>
      </c>
      <c r="D209">
        <v>54911.999999999985</v>
      </c>
      <c r="F209">
        <v>197402.39999999997</v>
      </c>
      <c r="G209">
        <v>288242.43358456285</v>
      </c>
    </row>
    <row r="210" spans="1:7" x14ac:dyDescent="0.35">
      <c r="A210" s="1" t="s">
        <v>208</v>
      </c>
      <c r="B210">
        <v>19219.19999999999</v>
      </c>
      <c r="D210">
        <v>53071.200000000012</v>
      </c>
      <c r="E210">
        <v>277264</v>
      </c>
      <c r="F210">
        <v>50244.480000000025</v>
      </c>
      <c r="G210">
        <v>20135.705518968578</v>
      </c>
    </row>
    <row r="211" spans="1:7" x14ac:dyDescent="0.35">
      <c r="A211" s="1" t="s">
        <v>209</v>
      </c>
      <c r="B211">
        <v>83865.600000000006</v>
      </c>
      <c r="D211">
        <v>2.9103830456733704E-11</v>
      </c>
      <c r="G211">
        <v>122098.97849426477</v>
      </c>
    </row>
    <row r="212" spans="1:7" x14ac:dyDescent="0.35">
      <c r="A212" s="1" t="s">
        <v>210</v>
      </c>
      <c r="B212">
        <v>438197.76000000007</v>
      </c>
      <c r="C212">
        <v>315952.00000000012</v>
      </c>
      <c r="D212">
        <v>253693.43999999989</v>
      </c>
      <c r="E212">
        <v>1769040</v>
      </c>
    </row>
    <row r="213" spans="1:7" x14ac:dyDescent="0.35">
      <c r="A213" s="1" t="s">
        <v>211</v>
      </c>
      <c r="B213">
        <v>91728.000000000073</v>
      </c>
      <c r="C213">
        <v>29952.000000000058</v>
      </c>
      <c r="D213">
        <v>33196.800000000061</v>
      </c>
      <c r="E213">
        <v>269568</v>
      </c>
      <c r="F213">
        <v>150072</v>
      </c>
    </row>
    <row r="214" spans="1:7" x14ac:dyDescent="0.35">
      <c r="A214" s="1" t="s">
        <v>212</v>
      </c>
      <c r="B214">
        <v>27955.200000000008</v>
      </c>
      <c r="C214">
        <v>79872</v>
      </c>
      <c r="D214">
        <v>5.8207660913467407E-11</v>
      </c>
      <c r="F214">
        <v>183456</v>
      </c>
    </row>
    <row r="215" spans="1:7" x14ac:dyDescent="0.35">
      <c r="A215" s="1" t="s">
        <v>213</v>
      </c>
      <c r="B215">
        <v>18657.600000000006</v>
      </c>
      <c r="C215">
        <v>31200.000000000015</v>
      </c>
      <c r="D215">
        <v>9172.8000000000029</v>
      </c>
    </row>
    <row r="216" spans="1:7" x14ac:dyDescent="0.35">
      <c r="A216" s="1" t="s">
        <v>214</v>
      </c>
      <c r="B216">
        <v>51105.60000000002</v>
      </c>
      <c r="D216">
        <v>7.2759576141834259E-12</v>
      </c>
      <c r="G216">
        <v>180835.36213075474</v>
      </c>
    </row>
    <row r="217" spans="1:7" x14ac:dyDescent="0.35">
      <c r="A217" s="1" t="s">
        <v>215</v>
      </c>
      <c r="B217">
        <v>28619.136000000013</v>
      </c>
      <c r="D217">
        <v>332659.60000000021</v>
      </c>
      <c r="E217">
        <v>3452904</v>
      </c>
      <c r="F217">
        <v>920337.60000000033</v>
      </c>
      <c r="G217">
        <v>111399.14476811903</v>
      </c>
    </row>
    <row r="218" spans="1:7" x14ac:dyDescent="0.35">
      <c r="A218" s="1" t="s">
        <v>216</v>
      </c>
      <c r="B218">
        <v>22464</v>
      </c>
      <c r="C218">
        <v>32448</v>
      </c>
      <c r="D218">
        <v>1.1641532182693481E-10</v>
      </c>
      <c r="E218">
        <v>269568</v>
      </c>
      <c r="F218">
        <v>80371.200000000186</v>
      </c>
    </row>
    <row r="219" spans="1:7" x14ac:dyDescent="0.35">
      <c r="A219" s="1" t="s">
        <v>217</v>
      </c>
      <c r="B219">
        <v>9940.32</v>
      </c>
      <c r="C219">
        <v>-7.2759576141834259E-12</v>
      </c>
      <c r="E219">
        <v>622502.40000000002</v>
      </c>
      <c r="F219">
        <v>68515.200000000012</v>
      </c>
    </row>
    <row r="220" spans="1:7" x14ac:dyDescent="0.35">
      <c r="A220" s="1" t="s">
        <v>218</v>
      </c>
      <c r="B220">
        <v>146016</v>
      </c>
      <c r="C220">
        <v>9984</v>
      </c>
      <c r="D220">
        <v>3203.2000000000007</v>
      </c>
      <c r="E220">
        <v>820352</v>
      </c>
      <c r="F220">
        <v>387878.40000000014</v>
      </c>
      <c r="G220">
        <v>106499.63088116473</v>
      </c>
    </row>
    <row r="221" spans="1:7" x14ac:dyDescent="0.35">
      <c r="A221" s="1" t="s">
        <v>219</v>
      </c>
      <c r="B221">
        <v>73819.200000000012</v>
      </c>
      <c r="C221">
        <v>241280</v>
      </c>
      <c r="D221">
        <v>139932.00000000003</v>
      </c>
      <c r="E221">
        <v>542880</v>
      </c>
      <c r="F221">
        <v>923520</v>
      </c>
      <c r="G221">
        <v>361734.52030936134</v>
      </c>
    </row>
    <row r="222" spans="1:7" x14ac:dyDescent="0.35">
      <c r="A222" s="1" t="s">
        <v>220</v>
      </c>
      <c r="B222">
        <v>69888</v>
      </c>
      <c r="C222">
        <v>56160</v>
      </c>
      <c r="D222">
        <v>-7.2759576141834259E-12</v>
      </c>
      <c r="E222">
        <v>494208</v>
      </c>
      <c r="F222">
        <v>326842.87999999995</v>
      </c>
      <c r="G222">
        <v>75552.119336745964</v>
      </c>
    </row>
    <row r="223" spans="1:7" x14ac:dyDescent="0.35">
      <c r="A223" s="1" t="s">
        <v>221</v>
      </c>
      <c r="B223">
        <v>9983.9999999999854</v>
      </c>
      <c r="C223">
        <v>45759.999999999971</v>
      </c>
      <c r="D223">
        <v>124924.80000000002</v>
      </c>
      <c r="E223">
        <v>2816486.4000000004</v>
      </c>
      <c r="F223">
        <v>191335.04000000004</v>
      </c>
    </row>
    <row r="224" spans="1:7" x14ac:dyDescent="0.35">
      <c r="A224" s="1" t="s">
        <v>222</v>
      </c>
      <c r="B224">
        <v>30270.240000000013</v>
      </c>
      <c r="C224">
        <v>535392.00000000023</v>
      </c>
      <c r="D224">
        <v>24336</v>
      </c>
      <c r="E224">
        <v>2426112</v>
      </c>
      <c r="F224">
        <v>465903.35999999999</v>
      </c>
    </row>
    <row r="225" spans="1:7" x14ac:dyDescent="0.35">
      <c r="A225" s="1" t="s">
        <v>223</v>
      </c>
      <c r="B225">
        <v>174.71999999999753</v>
      </c>
      <c r="D225">
        <v>164673.60000000003</v>
      </c>
      <c r="E225">
        <v>3397222.4000000004</v>
      </c>
      <c r="F225">
        <v>-2.3283064365386963E-10</v>
      </c>
    </row>
    <row r="226" spans="1:7" x14ac:dyDescent="0.35">
      <c r="A226" s="1" t="s">
        <v>224</v>
      </c>
      <c r="B226">
        <v>62599.680000000008</v>
      </c>
      <c r="C226">
        <v>49919.999999999971</v>
      </c>
      <c r="D226">
        <v>10920</v>
      </c>
    </row>
    <row r="227" spans="1:7" x14ac:dyDescent="0.35">
      <c r="A227" s="1" t="s">
        <v>225</v>
      </c>
      <c r="B227">
        <v>115315.19999999995</v>
      </c>
      <c r="C227">
        <v>5.8207660913467407E-11</v>
      </c>
      <c r="D227">
        <v>194688</v>
      </c>
      <c r="E227">
        <v>1959193.6000000001</v>
      </c>
      <c r="F227">
        <v>456768</v>
      </c>
    </row>
    <row r="228" spans="1:7" x14ac:dyDescent="0.35">
      <c r="A228" s="1" t="s">
        <v>226</v>
      </c>
      <c r="B228">
        <v>90854.399999999994</v>
      </c>
      <c r="C228">
        <v>12480</v>
      </c>
      <c r="E228">
        <v>1733222.3999999999</v>
      </c>
      <c r="F228">
        <v>132462.72000000006</v>
      </c>
    </row>
    <row r="229" spans="1:7" x14ac:dyDescent="0.35">
      <c r="A229" s="1" t="s">
        <v>227</v>
      </c>
      <c r="B229">
        <v>307008.00000000012</v>
      </c>
      <c r="D229">
        <v>257720.32000000001</v>
      </c>
      <c r="E229">
        <v>5674905.6000000006</v>
      </c>
      <c r="F229">
        <v>1160556.8</v>
      </c>
    </row>
    <row r="230" spans="1:7" x14ac:dyDescent="0.35">
      <c r="A230" s="1" t="s">
        <v>228</v>
      </c>
      <c r="B230">
        <v>95292.288000000059</v>
      </c>
      <c r="D230">
        <v>395366.39999999991</v>
      </c>
      <c r="F230">
        <v>231809.75999999995</v>
      </c>
    </row>
    <row r="231" spans="1:7" x14ac:dyDescent="0.35">
      <c r="A231" s="1" t="s">
        <v>229</v>
      </c>
      <c r="B231">
        <v>6552</v>
      </c>
      <c r="D231">
        <v>109824</v>
      </c>
      <c r="F231">
        <v>68795.999999999985</v>
      </c>
    </row>
    <row r="232" spans="1:7" x14ac:dyDescent="0.35">
      <c r="A232" s="1" t="s">
        <v>230</v>
      </c>
      <c r="B232">
        <v>104332.8</v>
      </c>
      <c r="C232">
        <v>319488</v>
      </c>
      <c r="D232">
        <v>116480.00000000006</v>
      </c>
      <c r="E232">
        <v>4828262.4000000004</v>
      </c>
      <c r="F232">
        <v>277055.99999999988</v>
      </c>
      <c r="G232">
        <v>200015.34878845775</v>
      </c>
    </row>
    <row r="233" spans="1:7" x14ac:dyDescent="0.35">
      <c r="A233" s="1" t="s">
        <v>231</v>
      </c>
      <c r="B233">
        <v>218400</v>
      </c>
      <c r="C233">
        <v>93600</v>
      </c>
      <c r="D233">
        <v>127764.00000000006</v>
      </c>
      <c r="F233">
        <v>455026</v>
      </c>
      <c r="G233">
        <v>127918.46032453101</v>
      </c>
    </row>
    <row r="234" spans="1:7" x14ac:dyDescent="0.35">
      <c r="A234" s="1" t="s">
        <v>232</v>
      </c>
      <c r="B234">
        <v>58968</v>
      </c>
      <c r="C234">
        <v>2.9103830456733704E-11</v>
      </c>
      <c r="D234">
        <v>394243.2</v>
      </c>
      <c r="E234">
        <v>4990752</v>
      </c>
      <c r="F234">
        <v>247665.59999999998</v>
      </c>
    </row>
    <row r="235" spans="1:7" x14ac:dyDescent="0.35">
      <c r="A235" s="1" t="s">
        <v>233</v>
      </c>
      <c r="B235">
        <v>76003.200000000012</v>
      </c>
      <c r="C235">
        <v>12480</v>
      </c>
      <c r="D235">
        <v>48322.560000000012</v>
      </c>
      <c r="E235">
        <v>270816</v>
      </c>
      <c r="F235">
        <v>195093.59999999998</v>
      </c>
    </row>
    <row r="236" spans="1:7" x14ac:dyDescent="0.35">
      <c r="A236" s="1" t="s">
        <v>234</v>
      </c>
      <c r="B236">
        <v>97415.135999999999</v>
      </c>
      <c r="C236">
        <v>360360</v>
      </c>
      <c r="D236">
        <v>61661.600000000006</v>
      </c>
      <c r="E236">
        <v>1900080</v>
      </c>
      <c r="F236">
        <v>492273.59999999963</v>
      </c>
    </row>
    <row r="237" spans="1:7" x14ac:dyDescent="0.35">
      <c r="A237" s="1" t="s">
        <v>235</v>
      </c>
      <c r="C237">
        <v>222768</v>
      </c>
      <c r="D237">
        <v>107627.51999999999</v>
      </c>
      <c r="F237">
        <v>1007173.4400000002</v>
      </c>
      <c r="G237">
        <v>91072.809197219642</v>
      </c>
    </row>
    <row r="238" spans="1:7" x14ac:dyDescent="0.35">
      <c r="A238" s="1" t="s">
        <v>236</v>
      </c>
      <c r="B238">
        <v>-5.8207660913467407E-11</v>
      </c>
      <c r="C238">
        <v>-5.8207660913467407E-11</v>
      </c>
      <c r="D238">
        <v>70287.360000000015</v>
      </c>
      <c r="F238">
        <v>12180.480000000189</v>
      </c>
    </row>
    <row r="239" spans="1:7" x14ac:dyDescent="0.35">
      <c r="A239" s="1" t="s">
        <v>237</v>
      </c>
      <c r="B239">
        <v>239715.84000000003</v>
      </c>
      <c r="C239">
        <v>1.1641532182693481E-10</v>
      </c>
    </row>
    <row r="240" spans="1:7" x14ac:dyDescent="0.35">
      <c r="A240" s="1" t="s">
        <v>238</v>
      </c>
      <c r="B240">
        <v>494208.00000000012</v>
      </c>
      <c r="C240">
        <v>1.1641532182693481E-10</v>
      </c>
      <c r="E240">
        <v>6357728</v>
      </c>
      <c r="F240">
        <v>399672</v>
      </c>
    </row>
    <row r="241" spans="1:7" x14ac:dyDescent="0.35">
      <c r="A241" s="1" t="s">
        <v>239</v>
      </c>
      <c r="B241">
        <v>10982.400000000023</v>
      </c>
      <c r="C241">
        <v>219648</v>
      </c>
      <c r="D241">
        <v>18304</v>
      </c>
      <c r="E241">
        <v>412672</v>
      </c>
      <c r="F241">
        <v>85612.799999999988</v>
      </c>
    </row>
    <row r="242" spans="1:7" x14ac:dyDescent="0.35">
      <c r="A242" s="1" t="s">
        <v>240</v>
      </c>
      <c r="B242">
        <v>148611.83999999997</v>
      </c>
      <c r="C242">
        <v>374399.99999999988</v>
      </c>
      <c r="E242">
        <v>2935296</v>
      </c>
      <c r="F242">
        <v>366911.99999999977</v>
      </c>
    </row>
    <row r="243" spans="1:7" x14ac:dyDescent="0.35">
      <c r="A243" s="1" t="s">
        <v>241</v>
      </c>
      <c r="B243">
        <v>106579.20000000003</v>
      </c>
      <c r="D243">
        <v>307507.20000000007</v>
      </c>
      <c r="E243">
        <v>464256</v>
      </c>
      <c r="F243">
        <v>294840</v>
      </c>
    </row>
    <row r="244" spans="1:7" x14ac:dyDescent="0.35">
      <c r="A244" s="1" t="s">
        <v>242</v>
      </c>
      <c r="B244">
        <v>78624</v>
      </c>
      <c r="D244">
        <v>156499.2000000001</v>
      </c>
      <c r="E244">
        <v>1693785.6</v>
      </c>
      <c r="F244">
        <v>290908.79999999993</v>
      </c>
      <c r="G244">
        <v>121638.31173515273</v>
      </c>
    </row>
    <row r="245" spans="1:7" x14ac:dyDescent="0.35">
      <c r="A245" s="1" t="s">
        <v>243</v>
      </c>
      <c r="B245">
        <v>265749.12</v>
      </c>
      <c r="C245">
        <v>484847.99999999977</v>
      </c>
      <c r="D245">
        <v>28828.799999999996</v>
      </c>
      <c r="E245">
        <v>1600560</v>
      </c>
      <c r="F245">
        <v>1090908</v>
      </c>
    </row>
    <row r="246" spans="1:7" x14ac:dyDescent="0.35">
      <c r="A246" s="1" t="s">
        <v>244</v>
      </c>
      <c r="B246">
        <v>169728</v>
      </c>
      <c r="D246">
        <v>171626.00000000006</v>
      </c>
      <c r="E246">
        <v>112840</v>
      </c>
      <c r="F246">
        <v>205841.99999999994</v>
      </c>
    </row>
    <row r="247" spans="1:7" x14ac:dyDescent="0.35">
      <c r="A247" s="1" t="s">
        <v>245</v>
      </c>
      <c r="B247">
        <v>89456.640000000014</v>
      </c>
      <c r="E247">
        <v>649958.40000000014</v>
      </c>
      <c r="F247">
        <v>164436.47999999998</v>
      </c>
    </row>
    <row r="248" spans="1:7" x14ac:dyDescent="0.35">
      <c r="A248" s="1" t="s">
        <v>246</v>
      </c>
      <c r="B248">
        <v>8736</v>
      </c>
      <c r="C248">
        <v>429311.99999999977</v>
      </c>
      <c r="D248">
        <v>3660.8</v>
      </c>
      <c r="F248">
        <v>794227.20000000019</v>
      </c>
    </row>
    <row r="249" spans="1:7" x14ac:dyDescent="0.35">
      <c r="A249" s="1" t="s">
        <v>247</v>
      </c>
      <c r="B249">
        <v>6240</v>
      </c>
      <c r="D249">
        <v>166566.40000000011</v>
      </c>
      <c r="E249">
        <v>290160</v>
      </c>
      <c r="F249">
        <v>1.1641532182693481E-10</v>
      </c>
      <c r="G249">
        <v>140062.94771169522</v>
      </c>
    </row>
    <row r="250" spans="1:7" x14ac:dyDescent="0.35">
      <c r="A250" s="1" t="s">
        <v>248</v>
      </c>
      <c r="B250">
        <v>13104.000000000002</v>
      </c>
      <c r="C250">
        <v>19759.999999999993</v>
      </c>
      <c r="D250">
        <v>83283.199999999983</v>
      </c>
      <c r="E250">
        <v>1082016</v>
      </c>
      <c r="F250">
        <v>-1.1641532182693481E-10</v>
      </c>
    </row>
    <row r="251" spans="1:7" x14ac:dyDescent="0.35">
      <c r="A251" s="1" t="s">
        <v>249</v>
      </c>
      <c r="D251">
        <v>44844.800000000017</v>
      </c>
      <c r="E251">
        <v>51584</v>
      </c>
      <c r="F251">
        <v>152256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2711-6361-4570-B0F8-C7AA41BF4C3C}">
  <dimension ref="A1:DO2"/>
  <sheetViews>
    <sheetView workbookViewId="0"/>
  </sheetViews>
  <sheetFormatPr defaultRowHeight="14.5" x14ac:dyDescent="0.35"/>
  <sheetData>
    <row r="1" spans="1:119" x14ac:dyDescent="0.35">
      <c r="A1" s="1" t="s">
        <v>2</v>
      </c>
      <c r="B1" s="1" t="s">
        <v>8</v>
      </c>
      <c r="C1" s="1" t="s">
        <v>12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23</v>
      </c>
      <c r="L1" s="1" t="s">
        <v>26</v>
      </c>
      <c r="M1" s="1" t="s">
        <v>28</v>
      </c>
      <c r="N1" s="1" t="s">
        <v>33</v>
      </c>
      <c r="O1" s="1" t="s">
        <v>35</v>
      </c>
      <c r="P1" s="1" t="s">
        <v>37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49</v>
      </c>
      <c r="X1" s="1" t="s">
        <v>50</v>
      </c>
      <c r="Y1" s="1" t="s">
        <v>52</v>
      </c>
      <c r="Z1" s="1" t="s">
        <v>53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63</v>
      </c>
      <c r="AF1" s="1" t="s">
        <v>65</v>
      </c>
      <c r="AG1" s="1" t="s">
        <v>68</v>
      </c>
      <c r="AH1" s="1" t="s">
        <v>69</v>
      </c>
      <c r="AI1" s="1" t="s">
        <v>71</v>
      </c>
      <c r="AJ1" s="1" t="s">
        <v>73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86</v>
      </c>
      <c r="AU1" s="1" t="s">
        <v>89</v>
      </c>
      <c r="AV1" s="1" t="s">
        <v>90</v>
      </c>
      <c r="AW1" s="1" t="s">
        <v>91</v>
      </c>
      <c r="AX1" s="1" t="s">
        <v>92</v>
      </c>
      <c r="AY1" s="1" t="s">
        <v>94</v>
      </c>
      <c r="AZ1" s="1" t="s">
        <v>99</v>
      </c>
      <c r="BA1" s="1" t="s">
        <v>101</v>
      </c>
      <c r="BB1" s="1" t="s">
        <v>104</v>
      </c>
      <c r="BC1" s="1" t="s">
        <v>105</v>
      </c>
      <c r="BD1" s="1" t="s">
        <v>107</v>
      </c>
      <c r="BE1" s="1" t="s">
        <v>108</v>
      </c>
      <c r="BF1" s="1" t="s">
        <v>109</v>
      </c>
      <c r="BG1" s="1" t="s">
        <v>112</v>
      </c>
      <c r="BH1" s="1" t="s">
        <v>113</v>
      </c>
      <c r="BI1" s="1" t="s">
        <v>114</v>
      </c>
      <c r="BJ1" s="1" t="s">
        <v>115</v>
      </c>
      <c r="BK1" s="1" t="s">
        <v>118</v>
      </c>
      <c r="BL1" s="1" t="s">
        <v>120</v>
      </c>
      <c r="BM1" s="1" t="s">
        <v>123</v>
      </c>
      <c r="BN1" s="1" t="s">
        <v>124</v>
      </c>
      <c r="BO1" s="1" t="s">
        <v>129</v>
      </c>
      <c r="BP1" s="1" t="s">
        <v>130</v>
      </c>
      <c r="BQ1" s="1" t="s">
        <v>132</v>
      </c>
      <c r="BR1" s="1" t="s">
        <v>133</v>
      </c>
      <c r="BS1" s="1" t="s">
        <v>134</v>
      </c>
      <c r="BT1" s="1" t="s">
        <v>135</v>
      </c>
      <c r="BU1" s="1" t="s">
        <v>136</v>
      </c>
      <c r="BV1" s="1" t="s">
        <v>139</v>
      </c>
      <c r="BW1" s="1" t="s">
        <v>141</v>
      </c>
      <c r="BX1" s="1" t="s">
        <v>142</v>
      </c>
      <c r="BY1" s="1" t="s">
        <v>143</v>
      </c>
      <c r="BZ1" s="1" t="s">
        <v>144</v>
      </c>
      <c r="CA1" s="1" t="s">
        <v>146</v>
      </c>
      <c r="CB1" s="1" t="s">
        <v>150</v>
      </c>
      <c r="CC1" s="1" t="s">
        <v>152</v>
      </c>
      <c r="CD1" s="1" t="s">
        <v>154</v>
      </c>
      <c r="CE1" s="1" t="s">
        <v>155</v>
      </c>
      <c r="CF1" s="1" t="s">
        <v>156</v>
      </c>
      <c r="CG1" s="1" t="s">
        <v>159</v>
      </c>
      <c r="CH1" s="1" t="s">
        <v>164</v>
      </c>
      <c r="CI1" s="1" t="s">
        <v>165</v>
      </c>
      <c r="CJ1" s="1" t="s">
        <v>170</v>
      </c>
      <c r="CK1" s="1" t="s">
        <v>172</v>
      </c>
      <c r="CL1" s="1" t="s">
        <v>173</v>
      </c>
      <c r="CM1" s="1" t="s">
        <v>174</v>
      </c>
      <c r="CN1" s="1" t="s">
        <v>178</v>
      </c>
      <c r="CO1" s="1" t="s">
        <v>179</v>
      </c>
      <c r="CP1" s="1" t="s">
        <v>183</v>
      </c>
      <c r="CQ1" s="1" t="s">
        <v>184</v>
      </c>
      <c r="CR1" s="1" t="s">
        <v>187</v>
      </c>
      <c r="CS1" s="1" t="s">
        <v>188</v>
      </c>
      <c r="CT1" s="1" t="s">
        <v>194</v>
      </c>
      <c r="CU1" s="1" t="s">
        <v>195</v>
      </c>
      <c r="CV1" s="1" t="s">
        <v>197</v>
      </c>
      <c r="CW1" s="1" t="s">
        <v>198</v>
      </c>
      <c r="CX1" s="1" t="s">
        <v>200</v>
      </c>
      <c r="CY1" s="1" t="s">
        <v>202</v>
      </c>
      <c r="CZ1" s="1" t="s">
        <v>203</v>
      </c>
      <c r="DA1" s="1" t="s">
        <v>204</v>
      </c>
      <c r="DB1" s="1" t="s">
        <v>206</v>
      </c>
      <c r="DC1" s="1" t="s">
        <v>207</v>
      </c>
      <c r="DD1" s="1" t="s">
        <v>208</v>
      </c>
      <c r="DE1" s="1" t="s">
        <v>209</v>
      </c>
      <c r="DF1" s="1" t="s">
        <v>214</v>
      </c>
      <c r="DG1" s="1" t="s">
        <v>215</v>
      </c>
      <c r="DH1" s="1" t="s">
        <v>218</v>
      </c>
      <c r="DI1" s="1" t="s">
        <v>219</v>
      </c>
      <c r="DJ1" s="1" t="s">
        <v>220</v>
      </c>
      <c r="DK1" s="1" t="s">
        <v>230</v>
      </c>
      <c r="DL1" s="1" t="s">
        <v>231</v>
      </c>
      <c r="DM1" s="1" t="s">
        <v>235</v>
      </c>
      <c r="DN1" s="1" t="s">
        <v>242</v>
      </c>
      <c r="DO1" s="1" t="s">
        <v>247</v>
      </c>
    </row>
    <row r="2" spans="1:119" x14ac:dyDescent="0.35">
      <c r="A2">
        <v>50371.627600056716</v>
      </c>
      <c r="B2">
        <v>5997.4954535331062</v>
      </c>
      <c r="C2">
        <v>40017.143246903921</v>
      </c>
      <c r="D2">
        <v>85896.548503339087</v>
      </c>
      <c r="E2">
        <v>56775.136041834325</v>
      </c>
      <c r="F2">
        <v>49960.45460288084</v>
      </c>
      <c r="G2">
        <v>31232.41364646532</v>
      </c>
      <c r="H2">
        <v>204714.24266076059</v>
      </c>
      <c r="I2">
        <v>37090.565729915987</v>
      </c>
      <c r="J2">
        <v>155022.34315230028</v>
      </c>
      <c r="K2">
        <v>49906.398017584099</v>
      </c>
      <c r="L2">
        <v>42237.750921035557</v>
      </c>
      <c r="M2">
        <v>28515.50641037049</v>
      </c>
      <c r="N2">
        <v>113059.77427932335</v>
      </c>
      <c r="O2">
        <v>293475.87465991522</v>
      </c>
      <c r="P2">
        <v>79901.548537367766</v>
      </c>
      <c r="Q2">
        <v>68963.71410899522</v>
      </c>
      <c r="R2">
        <v>141738.58675484508</v>
      </c>
      <c r="S2">
        <v>114343.56476333029</v>
      </c>
      <c r="T2">
        <v>191729.86889949016</v>
      </c>
      <c r="U2">
        <v>109943.52246773611</v>
      </c>
      <c r="V2">
        <v>139011.89705778332</v>
      </c>
      <c r="W2">
        <v>59083.973180222762</v>
      </c>
      <c r="X2">
        <v>69615.296461049424</v>
      </c>
      <c r="Y2">
        <v>164202.46089910026</v>
      </c>
      <c r="Z2">
        <v>235423.80978787743</v>
      </c>
      <c r="AA2">
        <v>259156.00078183287</v>
      </c>
      <c r="AB2">
        <v>27721.735947162699</v>
      </c>
      <c r="AC2">
        <v>80866.249905294462</v>
      </c>
      <c r="AD2">
        <v>161735.00113122718</v>
      </c>
      <c r="AE2">
        <v>16211.593167141298</v>
      </c>
      <c r="AF2">
        <v>85918.405441268973</v>
      </c>
      <c r="AG2">
        <v>424057.65232495946</v>
      </c>
      <c r="AH2">
        <v>245128.08086575216</v>
      </c>
      <c r="AI2">
        <v>96401.336914580301</v>
      </c>
      <c r="AJ2">
        <v>246295.35134563569</v>
      </c>
      <c r="AK2">
        <v>237546.50752686875</v>
      </c>
      <c r="AL2">
        <v>60877.948490070121</v>
      </c>
      <c r="AM2">
        <v>251138.87341636221</v>
      </c>
      <c r="AN2">
        <v>46244.765670273046</v>
      </c>
      <c r="AO2">
        <v>90662.408516603027</v>
      </c>
      <c r="AP2">
        <v>39861.866042066074</v>
      </c>
      <c r="AQ2">
        <v>161759.18355420729</v>
      </c>
      <c r="AR2">
        <v>142840.83979343536</v>
      </c>
      <c r="AS2">
        <v>26526.440563851473</v>
      </c>
      <c r="AT2">
        <v>26981.147811843686</v>
      </c>
      <c r="AU2">
        <v>91388.513547690411</v>
      </c>
      <c r="AV2">
        <v>239051.86691558961</v>
      </c>
      <c r="AW2">
        <v>63007.91399713367</v>
      </c>
      <c r="AX2">
        <v>245171.85261342098</v>
      </c>
      <c r="AY2">
        <v>29067.519340551222</v>
      </c>
      <c r="AZ2">
        <v>49643.496752408922</v>
      </c>
      <c r="BA2">
        <v>60226.498581137828</v>
      </c>
      <c r="BB2">
        <v>17388.045631095523</v>
      </c>
      <c r="BC2">
        <v>93477.511941091085</v>
      </c>
      <c r="BD2">
        <v>253271.94790518255</v>
      </c>
      <c r="BE2">
        <v>215905.50365332508</v>
      </c>
      <c r="BF2">
        <v>360974.89790101256</v>
      </c>
      <c r="BG2">
        <v>11399.862831910235</v>
      </c>
      <c r="BH2">
        <v>211440.50448903939</v>
      </c>
      <c r="BI2">
        <v>120596.5204797146</v>
      </c>
      <c r="BJ2">
        <v>67184.143024531746</v>
      </c>
      <c r="BK2">
        <v>195822.17958649958</v>
      </c>
      <c r="BL2">
        <v>76746.640596979472</v>
      </c>
      <c r="BM2">
        <v>99704.739478317657</v>
      </c>
      <c r="BN2">
        <v>89394.954084943209</v>
      </c>
      <c r="BO2">
        <v>71467.162061895055</v>
      </c>
      <c r="BP2">
        <v>92088.788932005162</v>
      </c>
      <c r="BQ2">
        <v>165544.92210061828</v>
      </c>
      <c r="BR2">
        <v>156880.74830543</v>
      </c>
      <c r="BS2">
        <v>16406.384576909186</v>
      </c>
      <c r="BT2">
        <v>18699.527470816891</v>
      </c>
      <c r="BU2">
        <v>199899.73826072252</v>
      </c>
      <c r="BV2">
        <v>50991.166218609957</v>
      </c>
      <c r="BW2">
        <v>106281.87121556276</v>
      </c>
      <c r="BX2">
        <v>52627.758614195198</v>
      </c>
      <c r="BY2">
        <v>152366.45873312291</v>
      </c>
      <c r="BZ2">
        <v>43147.171523539248</v>
      </c>
      <c r="CA2">
        <v>110651.70072034714</v>
      </c>
      <c r="CB2">
        <v>183114.62755563064</v>
      </c>
      <c r="CC2">
        <v>60446.887303685558</v>
      </c>
      <c r="CD2">
        <v>99091.916208690469</v>
      </c>
      <c r="CE2">
        <v>141815.33985676835</v>
      </c>
      <c r="CF2">
        <v>101039.76896292969</v>
      </c>
      <c r="CG2">
        <v>253608.55591087419</v>
      </c>
      <c r="CH2">
        <v>13526.990354264557</v>
      </c>
      <c r="CI2">
        <v>39493.9035030874</v>
      </c>
      <c r="CJ2">
        <v>176180.82209306225</v>
      </c>
      <c r="CK2">
        <v>166099.2327778007</v>
      </c>
      <c r="CL2">
        <v>74149.249113457918</v>
      </c>
      <c r="CM2">
        <v>124550.69515922586</v>
      </c>
      <c r="CN2">
        <v>138959.16365121558</v>
      </c>
      <c r="CO2">
        <v>21096.889767113011</v>
      </c>
      <c r="CP2">
        <v>114476.81115853958</v>
      </c>
      <c r="CQ2">
        <v>220682.52205173601</v>
      </c>
      <c r="CR2">
        <v>366569.37553476344</v>
      </c>
      <c r="CS2">
        <v>14167.466057594866</v>
      </c>
      <c r="CT2">
        <v>160047.13467712575</v>
      </c>
      <c r="CU2">
        <v>37964.292577433778</v>
      </c>
      <c r="CV2">
        <v>24759.44759700706</v>
      </c>
      <c r="CW2">
        <v>298760.07040597516</v>
      </c>
      <c r="CX2">
        <v>85732.542708965018</v>
      </c>
      <c r="CY2">
        <v>165893.77326757577</v>
      </c>
      <c r="CZ2">
        <v>82063.102382795929</v>
      </c>
      <c r="DA2">
        <v>117787.20281847134</v>
      </c>
      <c r="DB2">
        <v>132859.61593358326</v>
      </c>
      <c r="DC2">
        <v>288242.43358456285</v>
      </c>
      <c r="DD2">
        <v>20135.705518968578</v>
      </c>
      <c r="DE2">
        <v>122098.97849426477</v>
      </c>
      <c r="DF2">
        <v>180835.36213075474</v>
      </c>
      <c r="DG2">
        <v>111399.14476811903</v>
      </c>
      <c r="DH2">
        <v>106499.63088116473</v>
      </c>
      <c r="DI2">
        <v>361734.52030936134</v>
      </c>
      <c r="DJ2">
        <v>75552.119336745935</v>
      </c>
      <c r="DK2">
        <v>200015.34878845775</v>
      </c>
      <c r="DL2">
        <v>127918.46032453098</v>
      </c>
      <c r="DM2">
        <v>91072.809197219642</v>
      </c>
      <c r="DN2">
        <v>121638.31173515272</v>
      </c>
      <c r="DO2">
        <v>140062.94771169522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40C96-F495-412E-AA74-C0B2BA960891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144144</v>
      </c>
      <c r="C2">
        <v>1370928.0000000002</v>
      </c>
      <c r="D2">
        <v>92664.000000000015</v>
      </c>
      <c r="E2">
        <v>4384640</v>
      </c>
      <c r="F2">
        <v>1522560</v>
      </c>
      <c r="G2">
        <v>575606.91760000004</v>
      </c>
    </row>
    <row r="3" spans="1:7" x14ac:dyDescent="0.35">
      <c r="A3" s="1" t="s">
        <v>1</v>
      </c>
      <c r="B3">
        <v>53508</v>
      </c>
      <c r="C3">
        <v>817689.59999999998</v>
      </c>
      <c r="D3">
        <v>230630.40000000002</v>
      </c>
      <c r="E3">
        <v>1726452</v>
      </c>
      <c r="F3">
        <v>359704.79999999981</v>
      </c>
      <c r="G3">
        <v>434371.21480479994</v>
      </c>
    </row>
    <row r="4" spans="1:7" x14ac:dyDescent="0.35">
      <c r="A4" s="1" t="s">
        <v>2</v>
      </c>
      <c r="B4">
        <v>6552</v>
      </c>
      <c r="C4">
        <v>103833.59999999998</v>
      </c>
      <c r="D4">
        <v>5491.2000000000116</v>
      </c>
      <c r="E4">
        <v>174096</v>
      </c>
      <c r="F4">
        <v>314662.39999999997</v>
      </c>
      <c r="G4">
        <v>79044.275398399972</v>
      </c>
    </row>
    <row r="5" spans="1:7" x14ac:dyDescent="0.35">
      <c r="A5" s="1" t="s">
        <v>3</v>
      </c>
      <c r="B5">
        <v>191100</v>
      </c>
      <c r="C5">
        <v>56784</v>
      </c>
      <c r="D5">
        <v>148720</v>
      </c>
      <c r="E5">
        <v>806000</v>
      </c>
      <c r="F5">
        <v>507520</v>
      </c>
      <c r="G5">
        <v>458366.07419200003</v>
      </c>
    </row>
    <row r="6" spans="1:7" x14ac:dyDescent="0.35">
      <c r="A6" s="1" t="s">
        <v>4</v>
      </c>
      <c r="B6">
        <v>85176</v>
      </c>
      <c r="C6">
        <v>18928</v>
      </c>
      <c r="D6">
        <v>57657.600000000006</v>
      </c>
      <c r="E6">
        <v>619008</v>
      </c>
      <c r="F6">
        <v>62805.599999999977</v>
      </c>
      <c r="G6">
        <v>139331.1300992</v>
      </c>
    </row>
    <row r="7" spans="1:7" x14ac:dyDescent="0.35">
      <c r="A7" s="1" t="s">
        <v>5</v>
      </c>
      <c r="B7">
        <v>110838</v>
      </c>
      <c r="C7">
        <v>548912</v>
      </c>
      <c r="D7">
        <v>243443.20000000004</v>
      </c>
      <c r="E7">
        <v>1308944</v>
      </c>
      <c r="F7">
        <v>2131584</v>
      </c>
      <c r="G7">
        <v>227254.47690399998</v>
      </c>
    </row>
    <row r="8" spans="1:7" x14ac:dyDescent="0.35">
      <c r="A8" s="1" t="s">
        <v>6</v>
      </c>
      <c r="B8">
        <v>943488.00000000023</v>
      </c>
      <c r="C8">
        <v>11897.599999999977</v>
      </c>
      <c r="D8">
        <v>109824</v>
      </c>
      <c r="E8">
        <v>1276704</v>
      </c>
      <c r="F8">
        <v>1682428.7999999998</v>
      </c>
      <c r="G8">
        <v>178697.5109504</v>
      </c>
    </row>
    <row r="9" spans="1:7" x14ac:dyDescent="0.35">
      <c r="A9" s="1" t="s">
        <v>7</v>
      </c>
      <c r="B9">
        <v>110838</v>
      </c>
      <c r="C9">
        <v>37180</v>
      </c>
      <c r="D9">
        <v>401544</v>
      </c>
      <c r="E9">
        <v>1869920</v>
      </c>
      <c r="F9">
        <v>190320</v>
      </c>
      <c r="G9">
        <v>410929.23466400005</v>
      </c>
    </row>
    <row r="10" spans="1:7" x14ac:dyDescent="0.35">
      <c r="A10" s="1" t="s">
        <v>8</v>
      </c>
      <c r="B10">
        <v>27518.399999999994</v>
      </c>
      <c r="C10">
        <v>170352</v>
      </c>
      <c r="D10">
        <v>3203.2000000000116</v>
      </c>
      <c r="E10">
        <v>212784</v>
      </c>
      <c r="F10">
        <v>196664</v>
      </c>
      <c r="G10">
        <v>27970.807695999974</v>
      </c>
    </row>
    <row r="11" spans="1:7" x14ac:dyDescent="0.35">
      <c r="A11" s="1" t="s">
        <v>9</v>
      </c>
      <c r="B11">
        <v>172972.79999999999</v>
      </c>
      <c r="C11">
        <v>231192</v>
      </c>
      <c r="D11">
        <v>18304</v>
      </c>
      <c r="E11">
        <v>1450800</v>
      </c>
      <c r="F11">
        <v>41870.399999999994</v>
      </c>
      <c r="G11">
        <v>98607.279180799989</v>
      </c>
    </row>
    <row r="12" spans="1:7" x14ac:dyDescent="0.35">
      <c r="A12" s="1" t="s">
        <v>10</v>
      </c>
      <c r="B12">
        <v>39312</v>
      </c>
      <c r="C12">
        <v>174137.60000000001</v>
      </c>
      <c r="D12">
        <v>70012.800000000003</v>
      </c>
      <c r="E12">
        <v>1740960</v>
      </c>
      <c r="F12">
        <v>96428.799999999988</v>
      </c>
      <c r="G12">
        <v>186781.4985088</v>
      </c>
    </row>
    <row r="13" spans="1:7" x14ac:dyDescent="0.35">
      <c r="A13" s="1" t="s">
        <v>11</v>
      </c>
      <c r="B13">
        <v>247665.6</v>
      </c>
      <c r="C13">
        <v>42588</v>
      </c>
      <c r="D13">
        <v>799999.20000000007</v>
      </c>
      <c r="E13">
        <v>2103660</v>
      </c>
      <c r="F13">
        <v>1918425.5999999994</v>
      </c>
      <c r="G13">
        <v>479193.66574560007</v>
      </c>
    </row>
    <row r="14" spans="1:7" x14ac:dyDescent="0.35">
      <c r="A14" s="1" t="s">
        <v>12</v>
      </c>
      <c r="B14">
        <v>2402.3999999999942</v>
      </c>
      <c r="C14">
        <v>232003.19999999998</v>
      </c>
      <c r="D14">
        <v>125840</v>
      </c>
      <c r="E14">
        <v>451360</v>
      </c>
      <c r="F14">
        <v>409822.39999999991</v>
      </c>
      <c r="G14">
        <v>59272.95982400002</v>
      </c>
    </row>
    <row r="15" spans="1:7" x14ac:dyDescent="0.35">
      <c r="A15" s="1" t="s">
        <v>13</v>
      </c>
      <c r="B15">
        <v>383292.00000000012</v>
      </c>
      <c r="C15">
        <v>178464</v>
      </c>
      <c r="D15">
        <v>205920.00000000003</v>
      </c>
      <c r="E15">
        <v>11026080</v>
      </c>
      <c r="F15">
        <v>754935.99999999988</v>
      </c>
      <c r="G15">
        <v>720407.38431999995</v>
      </c>
    </row>
    <row r="16" spans="1:7" x14ac:dyDescent="0.35">
      <c r="A16" s="1" t="s">
        <v>14</v>
      </c>
      <c r="B16">
        <v>80262</v>
      </c>
      <c r="C16">
        <v>160888</v>
      </c>
      <c r="D16">
        <v>331531.20000000007</v>
      </c>
      <c r="E16">
        <v>3452904</v>
      </c>
      <c r="F16">
        <v>128783.19999999995</v>
      </c>
      <c r="G16">
        <v>497663.68943200004</v>
      </c>
    </row>
    <row r="17" spans="1:7" x14ac:dyDescent="0.35">
      <c r="A17" s="1" t="s">
        <v>15</v>
      </c>
      <c r="B17">
        <v>39312</v>
      </c>
      <c r="C17">
        <v>249849.59999999998</v>
      </c>
      <c r="D17">
        <v>27456</v>
      </c>
      <c r="E17">
        <v>4570020</v>
      </c>
      <c r="F17">
        <v>959212.79999999993</v>
      </c>
      <c r="G17">
        <v>206841.57293280005</v>
      </c>
    </row>
    <row r="18" spans="1:7" x14ac:dyDescent="0.35">
      <c r="A18" s="1" t="s">
        <v>16</v>
      </c>
      <c r="B18">
        <v>117936</v>
      </c>
      <c r="C18">
        <v>873392</v>
      </c>
      <c r="D18">
        <v>329472.00000000006</v>
      </c>
      <c r="E18">
        <v>10639200</v>
      </c>
      <c r="F18">
        <v>570960</v>
      </c>
      <c r="G18">
        <v>212844.12385600002</v>
      </c>
    </row>
    <row r="19" spans="1:7" x14ac:dyDescent="0.35">
      <c r="A19" s="1" t="s">
        <v>17</v>
      </c>
      <c r="B19">
        <v>24024</v>
      </c>
      <c r="C19">
        <v>249849.59999999998</v>
      </c>
      <c r="D19">
        <v>252137.60000000001</v>
      </c>
      <c r="E19">
        <v>3191760</v>
      </c>
      <c r="F19">
        <v>195395.19999999995</v>
      </c>
      <c r="G19">
        <v>97743.404511999994</v>
      </c>
    </row>
    <row r="20" spans="1:7" x14ac:dyDescent="0.35">
      <c r="A20" s="1" t="s">
        <v>18</v>
      </c>
      <c r="B20">
        <v>91291.200000000012</v>
      </c>
      <c r="C20">
        <v>2704</v>
      </c>
      <c r="D20">
        <v>20134.399999999994</v>
      </c>
      <c r="E20">
        <v>38688</v>
      </c>
      <c r="F20">
        <v>106579.2</v>
      </c>
      <c r="G20">
        <v>61954.991612800011</v>
      </c>
    </row>
    <row r="21" spans="1:7" x14ac:dyDescent="0.35">
      <c r="A21" s="1" t="s">
        <v>19</v>
      </c>
      <c r="B21">
        <v>247665.6</v>
      </c>
      <c r="C21">
        <v>632736</v>
      </c>
      <c r="D21">
        <v>135907.20000000001</v>
      </c>
      <c r="E21">
        <v>10155600</v>
      </c>
      <c r="F21">
        <v>776505.6</v>
      </c>
      <c r="G21">
        <v>325481.07758400001</v>
      </c>
    </row>
    <row r="22" spans="1:7" x14ac:dyDescent="0.35">
      <c r="A22" s="1" t="s">
        <v>20</v>
      </c>
      <c r="B22">
        <v>376084.80000000005</v>
      </c>
      <c r="C22">
        <v>298521.60000000003</v>
      </c>
      <c r="D22">
        <v>37065.600000000006</v>
      </c>
      <c r="E22">
        <v>2437344</v>
      </c>
      <c r="F22">
        <v>685152</v>
      </c>
      <c r="G22">
        <v>370514.75585280004</v>
      </c>
    </row>
    <row r="23" spans="1:7" x14ac:dyDescent="0.35">
      <c r="A23" s="1" t="s">
        <v>21</v>
      </c>
      <c r="B23">
        <v>88452</v>
      </c>
      <c r="C23">
        <v>73819.200000000012</v>
      </c>
      <c r="D23">
        <v>4118.4000000000015</v>
      </c>
      <c r="E23">
        <v>585156</v>
      </c>
      <c r="F23">
        <v>240754.8</v>
      </c>
      <c r="G23">
        <v>175389.84091199999</v>
      </c>
    </row>
    <row r="24" spans="1:7" x14ac:dyDescent="0.35">
      <c r="A24" s="1" t="s">
        <v>22</v>
      </c>
      <c r="B24">
        <v>344962.80000000005</v>
      </c>
      <c r="C24">
        <v>52322.399999999994</v>
      </c>
      <c r="D24">
        <v>64864.800000000003</v>
      </c>
      <c r="E24">
        <v>9923472</v>
      </c>
      <c r="F24">
        <v>242658</v>
      </c>
      <c r="G24">
        <v>284754.33249120001</v>
      </c>
    </row>
    <row r="25" spans="1:7" x14ac:dyDescent="0.35">
      <c r="A25" s="1" t="s">
        <v>23</v>
      </c>
      <c r="B25">
        <v>207916.80000000002</v>
      </c>
      <c r="C25">
        <v>12979.199999999997</v>
      </c>
      <c r="D25">
        <v>142084.80000000002</v>
      </c>
      <c r="E25">
        <v>1444352</v>
      </c>
      <c r="F25">
        <v>213158.39999999994</v>
      </c>
      <c r="G25">
        <v>84094.939884799998</v>
      </c>
    </row>
    <row r="26" spans="1:7" x14ac:dyDescent="0.35">
      <c r="A26" s="1" t="s">
        <v>24</v>
      </c>
      <c r="B26">
        <v>82555.200000000012</v>
      </c>
      <c r="C26">
        <v>20550.399999999998</v>
      </c>
      <c r="D26">
        <v>109824</v>
      </c>
      <c r="E26">
        <v>992992</v>
      </c>
      <c r="F26">
        <v>116729.59999999999</v>
      </c>
      <c r="G26">
        <v>120266.91535040001</v>
      </c>
    </row>
    <row r="27" spans="1:7" x14ac:dyDescent="0.35">
      <c r="A27" s="1" t="s">
        <v>25</v>
      </c>
      <c r="B27">
        <v>5896.8000000000029</v>
      </c>
      <c r="C27">
        <v>136281.60000000001</v>
      </c>
      <c r="D27">
        <v>189446.40000000002</v>
      </c>
      <c r="E27">
        <v>1450800</v>
      </c>
      <c r="F27">
        <v>523380</v>
      </c>
      <c r="G27">
        <v>71477.46503040001</v>
      </c>
    </row>
    <row r="28" spans="1:7" x14ac:dyDescent="0.35">
      <c r="A28" s="1" t="s">
        <v>26</v>
      </c>
      <c r="B28">
        <v>34398</v>
      </c>
      <c r="C28">
        <v>442915.20000000007</v>
      </c>
      <c r="D28">
        <v>86486.399999999994</v>
      </c>
      <c r="E28">
        <v>62868</v>
      </c>
      <c r="F28">
        <v>28548</v>
      </c>
      <c r="G28">
        <v>86242.592467199982</v>
      </c>
    </row>
    <row r="29" spans="1:7" x14ac:dyDescent="0.35">
      <c r="A29" s="1" t="s">
        <v>27</v>
      </c>
      <c r="B29">
        <v>671580</v>
      </c>
      <c r="C29">
        <v>248227.20000000001</v>
      </c>
      <c r="D29">
        <v>338395.2</v>
      </c>
      <c r="E29">
        <v>9140040</v>
      </c>
      <c r="F29">
        <v>253125.59999999998</v>
      </c>
      <c r="G29">
        <v>223820.68225920002</v>
      </c>
    </row>
    <row r="30" spans="1:7" x14ac:dyDescent="0.35">
      <c r="A30" s="1" t="s">
        <v>28</v>
      </c>
      <c r="B30">
        <v>32104.800000000047</v>
      </c>
      <c r="C30">
        <v>8112</v>
      </c>
      <c r="D30">
        <v>99528</v>
      </c>
      <c r="E30">
        <v>1676480</v>
      </c>
      <c r="F30">
        <v>321958</v>
      </c>
      <c r="G30">
        <v>79382.442817600007</v>
      </c>
    </row>
    <row r="31" spans="1:7" x14ac:dyDescent="0.35">
      <c r="A31" s="1" t="s">
        <v>29</v>
      </c>
      <c r="B31">
        <v>266011.20000000007</v>
      </c>
      <c r="C31">
        <v>302848</v>
      </c>
      <c r="D31">
        <v>237837.60000000003</v>
      </c>
      <c r="E31">
        <v>6702696</v>
      </c>
      <c r="F31">
        <v>2318097.6</v>
      </c>
      <c r="G31">
        <v>543577.18935520004</v>
      </c>
    </row>
    <row r="32" spans="1:7" x14ac:dyDescent="0.35">
      <c r="A32" s="1" t="s">
        <v>30</v>
      </c>
      <c r="B32">
        <v>171007.2</v>
      </c>
      <c r="C32">
        <v>8112</v>
      </c>
      <c r="D32">
        <v>134191.20000000001</v>
      </c>
      <c r="E32">
        <v>251472</v>
      </c>
      <c r="F32">
        <v>542412</v>
      </c>
      <c r="G32">
        <v>84319.925851200009</v>
      </c>
    </row>
    <row r="33" spans="1:7" x14ac:dyDescent="0.35">
      <c r="A33" s="1" t="s">
        <v>31</v>
      </c>
      <c r="B33">
        <v>10920</v>
      </c>
      <c r="C33">
        <v>32448</v>
      </c>
      <c r="D33">
        <v>111196.8</v>
      </c>
      <c r="E33">
        <v>1392768</v>
      </c>
      <c r="F33">
        <v>506251.2</v>
      </c>
      <c r="G33">
        <v>160437.1392416</v>
      </c>
    </row>
    <row r="34" spans="1:7" x14ac:dyDescent="0.35">
      <c r="A34" s="1" t="s">
        <v>32</v>
      </c>
      <c r="B34">
        <v>65520</v>
      </c>
      <c r="C34">
        <v>59488</v>
      </c>
      <c r="D34">
        <v>90604.800000000003</v>
      </c>
      <c r="E34">
        <v>673816</v>
      </c>
      <c r="F34">
        <v>57096</v>
      </c>
      <c r="G34">
        <v>46358.372132799996</v>
      </c>
    </row>
    <row r="35" spans="1:7" x14ac:dyDescent="0.35">
      <c r="A35" s="1" t="s">
        <v>33</v>
      </c>
      <c r="B35">
        <v>430684.80000000005</v>
      </c>
      <c r="C35">
        <v>487801.60000000003</v>
      </c>
      <c r="D35">
        <v>175718.40000000002</v>
      </c>
      <c r="E35">
        <v>4333056</v>
      </c>
      <c r="F35">
        <v>71052.799999999988</v>
      </c>
      <c r="G35">
        <v>227621.62342400002</v>
      </c>
    </row>
    <row r="36" spans="1:7" x14ac:dyDescent="0.35">
      <c r="A36" s="1" t="s">
        <v>34</v>
      </c>
      <c r="B36">
        <v>147747.59999999998</v>
      </c>
      <c r="C36">
        <v>66924</v>
      </c>
      <c r="D36">
        <v>343200</v>
      </c>
      <c r="E36">
        <v>1305720</v>
      </c>
      <c r="F36">
        <v>185562</v>
      </c>
      <c r="G36">
        <v>142868.70118560002</v>
      </c>
    </row>
    <row r="37" spans="1:7" x14ac:dyDescent="0.35">
      <c r="A37" s="1" t="s">
        <v>35</v>
      </c>
      <c r="B37">
        <v>137592</v>
      </c>
      <c r="C37">
        <v>66248</v>
      </c>
      <c r="D37">
        <v>735134.40000000014</v>
      </c>
      <c r="E37">
        <v>6702696</v>
      </c>
      <c r="F37">
        <v>186513.6</v>
      </c>
      <c r="G37">
        <v>566869.03786240006</v>
      </c>
    </row>
    <row r="38" spans="1:7" x14ac:dyDescent="0.35">
      <c r="A38" s="1" t="s">
        <v>36</v>
      </c>
      <c r="B38">
        <v>1026043.2000000001</v>
      </c>
      <c r="C38">
        <v>328536.00000000006</v>
      </c>
      <c r="D38">
        <v>583783.20000000007</v>
      </c>
      <c r="E38">
        <v>3046680</v>
      </c>
      <c r="F38">
        <v>97063.2</v>
      </c>
      <c r="G38">
        <v>291628.76577120001</v>
      </c>
    </row>
    <row r="39" spans="1:7" x14ac:dyDescent="0.35">
      <c r="A39" s="1" t="s">
        <v>37</v>
      </c>
      <c r="B39">
        <v>314496</v>
      </c>
      <c r="C39">
        <v>378560</v>
      </c>
      <c r="D39">
        <v>27456</v>
      </c>
      <c r="E39">
        <v>4294368</v>
      </c>
      <c r="F39">
        <v>532896</v>
      </c>
      <c r="G39">
        <v>222543.00964479998</v>
      </c>
    </row>
    <row r="40" spans="1:7" x14ac:dyDescent="0.35">
      <c r="A40" s="1" t="s">
        <v>38</v>
      </c>
      <c r="B40">
        <v>733824</v>
      </c>
      <c r="C40">
        <v>564595.20000000007</v>
      </c>
      <c r="D40">
        <v>94723.200000000012</v>
      </c>
      <c r="E40">
        <v>8530704</v>
      </c>
      <c r="F40">
        <v>822182.39999999991</v>
      </c>
      <c r="G40">
        <v>423784.65742079995</v>
      </c>
    </row>
    <row r="41" spans="1:7" x14ac:dyDescent="0.35">
      <c r="A41" s="1" t="s">
        <v>39</v>
      </c>
      <c r="B41">
        <v>64864.800000000047</v>
      </c>
      <c r="C41">
        <v>129792</v>
      </c>
      <c r="D41">
        <v>380952</v>
      </c>
      <c r="E41">
        <v>696384</v>
      </c>
      <c r="F41">
        <v>49483.199999999953</v>
      </c>
      <c r="G41">
        <v>204741.9777936</v>
      </c>
    </row>
    <row r="42" spans="1:7" x14ac:dyDescent="0.35">
      <c r="A42" s="1" t="s">
        <v>40</v>
      </c>
      <c r="B42">
        <v>10920</v>
      </c>
      <c r="C42">
        <v>383292.00000000006</v>
      </c>
      <c r="D42">
        <v>431288</v>
      </c>
      <c r="E42">
        <v>322400</v>
      </c>
      <c r="F42">
        <v>401257.99999999994</v>
      </c>
      <c r="G42">
        <v>155882.00888000001</v>
      </c>
    </row>
    <row r="43" spans="1:7" x14ac:dyDescent="0.35">
      <c r="A43" s="1" t="s">
        <v>41</v>
      </c>
      <c r="B43">
        <v>47174.400000000001</v>
      </c>
      <c r="C43">
        <v>696550.40000000002</v>
      </c>
      <c r="D43">
        <v>320320.00000000006</v>
      </c>
      <c r="E43">
        <v>11142144</v>
      </c>
      <c r="F43">
        <v>657238.39999999991</v>
      </c>
      <c r="G43">
        <v>270079.00175359997</v>
      </c>
    </row>
    <row r="44" spans="1:7" x14ac:dyDescent="0.35">
      <c r="A44" s="1" t="s">
        <v>42</v>
      </c>
      <c r="B44">
        <v>31449.600000000002</v>
      </c>
      <c r="C44">
        <v>234707.20000000001</v>
      </c>
      <c r="D44">
        <v>54454.400000000023</v>
      </c>
      <c r="E44">
        <v>3791424</v>
      </c>
      <c r="F44">
        <v>129417.59999999998</v>
      </c>
      <c r="G44">
        <v>172421.92165120001</v>
      </c>
    </row>
    <row r="45" spans="1:7" x14ac:dyDescent="0.35">
      <c r="A45" s="1" t="s">
        <v>43</v>
      </c>
      <c r="B45">
        <v>786240</v>
      </c>
      <c r="C45">
        <v>973440</v>
      </c>
      <c r="D45">
        <v>100672</v>
      </c>
      <c r="E45">
        <v>14088880</v>
      </c>
      <c r="F45">
        <v>1747772</v>
      </c>
      <c r="G45">
        <v>379768.51806399995</v>
      </c>
    </row>
    <row r="46" spans="1:7" x14ac:dyDescent="0.35">
      <c r="A46" s="1" t="s">
        <v>44</v>
      </c>
      <c r="B46">
        <v>80371.199999999953</v>
      </c>
      <c r="C46">
        <v>112486.40000000002</v>
      </c>
      <c r="D46">
        <v>160617.60000000001</v>
      </c>
      <c r="E46">
        <v>4777968</v>
      </c>
      <c r="F46">
        <v>1508603.2</v>
      </c>
      <c r="G46">
        <v>166759.68125440003</v>
      </c>
    </row>
    <row r="47" spans="1:7" x14ac:dyDescent="0.35">
      <c r="A47" s="1" t="s">
        <v>45</v>
      </c>
      <c r="B47">
        <v>76440</v>
      </c>
      <c r="C47">
        <v>374774.4</v>
      </c>
      <c r="D47">
        <v>38438.400000000009</v>
      </c>
      <c r="E47">
        <v>7785960</v>
      </c>
      <c r="F47">
        <v>328619.19999999995</v>
      </c>
      <c r="G47">
        <v>346213.75559680001</v>
      </c>
    </row>
    <row r="48" spans="1:7" x14ac:dyDescent="0.35">
      <c r="A48" s="1" t="s">
        <v>46</v>
      </c>
      <c r="B48">
        <v>73710</v>
      </c>
      <c r="C48">
        <v>40560</v>
      </c>
      <c r="D48">
        <v>82368.000000000015</v>
      </c>
      <c r="E48">
        <v>2127840</v>
      </c>
      <c r="F48">
        <v>30451.200000000012</v>
      </c>
      <c r="G48">
        <v>61886.552291200031</v>
      </c>
    </row>
    <row r="49" spans="1:7" x14ac:dyDescent="0.35">
      <c r="A49" s="1" t="s">
        <v>47</v>
      </c>
      <c r="B49">
        <v>295495.2</v>
      </c>
      <c r="C49">
        <v>315962.40000000002</v>
      </c>
      <c r="D49">
        <v>312312</v>
      </c>
      <c r="E49">
        <v>4062240</v>
      </c>
      <c r="F49">
        <v>144643.19999999998</v>
      </c>
      <c r="G49">
        <v>231716.1716688</v>
      </c>
    </row>
    <row r="50" spans="1:7" x14ac:dyDescent="0.35">
      <c r="A50" s="1" t="s">
        <v>48</v>
      </c>
      <c r="B50">
        <v>78842.400000000023</v>
      </c>
      <c r="C50">
        <v>87880</v>
      </c>
      <c r="D50">
        <v>19219.200000000012</v>
      </c>
      <c r="E50">
        <v>496496</v>
      </c>
      <c r="F50">
        <v>474531.19999999995</v>
      </c>
      <c r="G50">
        <v>61009.217734400008</v>
      </c>
    </row>
    <row r="51" spans="1:7" x14ac:dyDescent="0.35">
      <c r="A51" s="1" t="s">
        <v>49</v>
      </c>
      <c r="B51">
        <v>210974.40000000002</v>
      </c>
      <c r="C51">
        <v>49888.800000000003</v>
      </c>
      <c r="D51">
        <v>274560</v>
      </c>
      <c r="E51">
        <v>391716</v>
      </c>
      <c r="F51">
        <v>171288</v>
      </c>
      <c r="G51">
        <v>185075.64379200002</v>
      </c>
    </row>
    <row r="52" spans="1:7" x14ac:dyDescent="0.35">
      <c r="A52" s="1" t="s">
        <v>50</v>
      </c>
      <c r="B52">
        <v>68140.799999999988</v>
      </c>
      <c r="C52">
        <v>205504</v>
      </c>
      <c r="D52">
        <v>115315.20000000001</v>
      </c>
      <c r="E52">
        <v>5338944</v>
      </c>
      <c r="F52">
        <v>905923.2</v>
      </c>
      <c r="G52">
        <v>227709.42787840002</v>
      </c>
    </row>
    <row r="53" spans="1:7" x14ac:dyDescent="0.35">
      <c r="A53" s="1" t="s">
        <v>51</v>
      </c>
      <c r="B53">
        <v>13431.600000000006</v>
      </c>
      <c r="C53">
        <v>232003.20000000001</v>
      </c>
      <c r="D53">
        <v>109480.80000000002</v>
      </c>
      <c r="E53">
        <v>565812</v>
      </c>
      <c r="F53">
        <v>167481.59999999998</v>
      </c>
      <c r="G53">
        <v>99391.659744000004</v>
      </c>
    </row>
    <row r="54" spans="1:7" x14ac:dyDescent="0.35">
      <c r="A54" s="1" t="s">
        <v>52</v>
      </c>
      <c r="B54">
        <v>176358.00000000003</v>
      </c>
      <c r="C54">
        <v>507000</v>
      </c>
      <c r="D54">
        <v>343200</v>
      </c>
      <c r="E54">
        <v>4771520</v>
      </c>
      <c r="F54">
        <v>989664</v>
      </c>
      <c r="G54">
        <v>309532.57462400006</v>
      </c>
    </row>
    <row r="55" spans="1:7" x14ac:dyDescent="0.35">
      <c r="A55" s="1" t="s">
        <v>53</v>
      </c>
      <c r="B55">
        <v>44226</v>
      </c>
      <c r="C55">
        <v>321235.20000000001</v>
      </c>
      <c r="D55">
        <v>401544</v>
      </c>
      <c r="E55">
        <v>3133728</v>
      </c>
      <c r="F55">
        <v>1027728</v>
      </c>
      <c r="G55">
        <v>474180.38216639997</v>
      </c>
    </row>
    <row r="56" spans="1:7" x14ac:dyDescent="0.35">
      <c r="A56" s="1" t="s">
        <v>54</v>
      </c>
      <c r="B56">
        <v>19874.399999999998</v>
      </c>
      <c r="C56">
        <v>65436.799999999988</v>
      </c>
      <c r="D56">
        <v>57657.599999999977</v>
      </c>
      <c r="E56">
        <v>116064</v>
      </c>
      <c r="F56">
        <v>77714</v>
      </c>
      <c r="G56">
        <v>52697.683604800026</v>
      </c>
    </row>
    <row r="57" spans="1:7" x14ac:dyDescent="0.35">
      <c r="A57" s="1" t="s">
        <v>55</v>
      </c>
      <c r="B57">
        <v>64864.799999999988</v>
      </c>
      <c r="C57">
        <v>882180.00000000023</v>
      </c>
      <c r="D57">
        <v>750578.4</v>
      </c>
      <c r="E57">
        <v>8704800</v>
      </c>
      <c r="F57">
        <v>1027728</v>
      </c>
      <c r="G57">
        <v>639019.33112160012</v>
      </c>
    </row>
    <row r="58" spans="1:7" x14ac:dyDescent="0.35">
      <c r="A58" s="1" t="s">
        <v>56</v>
      </c>
      <c r="B58">
        <v>188697.60000000001</v>
      </c>
      <c r="C58">
        <v>158184</v>
      </c>
      <c r="D58">
        <v>57657.599999999977</v>
      </c>
      <c r="E58">
        <v>319176</v>
      </c>
      <c r="F58">
        <v>328301.99999999988</v>
      </c>
      <c r="G58">
        <v>202803.40198560001</v>
      </c>
    </row>
    <row r="59" spans="1:7" x14ac:dyDescent="0.35">
      <c r="A59" s="1" t="s">
        <v>57</v>
      </c>
      <c r="B59">
        <v>27518.399999999994</v>
      </c>
      <c r="C59">
        <v>46238.399999999994</v>
      </c>
      <c r="D59">
        <v>833976.00000000012</v>
      </c>
      <c r="E59">
        <v>1624896</v>
      </c>
      <c r="F59">
        <v>479606.39999999985</v>
      </c>
      <c r="G59">
        <v>583932.2493888</v>
      </c>
    </row>
    <row r="60" spans="1:7" x14ac:dyDescent="0.35">
      <c r="A60" s="1" t="s">
        <v>58</v>
      </c>
      <c r="B60">
        <v>101337.60000000001</v>
      </c>
      <c r="C60">
        <v>67059.200000000012</v>
      </c>
      <c r="D60">
        <v>26426.400000000023</v>
      </c>
      <c r="E60">
        <v>1168700</v>
      </c>
      <c r="F60">
        <v>230921.59999999998</v>
      </c>
      <c r="G60">
        <v>44785.453460799996</v>
      </c>
    </row>
    <row r="61" spans="1:7" x14ac:dyDescent="0.35">
      <c r="A61" s="1" t="s">
        <v>59</v>
      </c>
      <c r="B61">
        <v>10483.199999999997</v>
      </c>
      <c r="C61">
        <v>162240</v>
      </c>
      <c r="D61">
        <v>61776.000000000015</v>
      </c>
      <c r="E61">
        <v>1508832</v>
      </c>
      <c r="F61">
        <v>599508</v>
      </c>
      <c r="G61">
        <v>130910.01867840003</v>
      </c>
    </row>
    <row r="62" spans="1:7" x14ac:dyDescent="0.35">
      <c r="A62" s="1" t="s">
        <v>60</v>
      </c>
      <c r="B62">
        <v>91728</v>
      </c>
      <c r="C62">
        <v>320153.60000000003</v>
      </c>
      <c r="D62">
        <v>89689.600000000006</v>
      </c>
      <c r="E62">
        <v>5957952</v>
      </c>
      <c r="F62">
        <v>121804.79999999999</v>
      </c>
      <c r="G62">
        <v>662417.20363519993</v>
      </c>
    </row>
    <row r="63" spans="1:7" x14ac:dyDescent="0.35">
      <c r="A63" s="1" t="s">
        <v>61</v>
      </c>
      <c r="B63">
        <v>80371.200000000012</v>
      </c>
      <c r="C63">
        <v>32448</v>
      </c>
      <c r="D63">
        <v>53081.600000000006</v>
      </c>
      <c r="E63">
        <v>338520</v>
      </c>
      <c r="F63">
        <v>39967.199999999997</v>
      </c>
      <c r="G63">
        <v>72872.135273599997</v>
      </c>
    </row>
    <row r="64" spans="1:7" x14ac:dyDescent="0.35">
      <c r="A64" s="1" t="s">
        <v>62</v>
      </c>
      <c r="B64">
        <v>647337.59999999986</v>
      </c>
      <c r="C64">
        <v>300144</v>
      </c>
      <c r="D64">
        <v>90604.800000000003</v>
      </c>
      <c r="E64">
        <v>4275024</v>
      </c>
      <c r="F64">
        <v>599508</v>
      </c>
      <c r="G64">
        <v>145009.60543679999</v>
      </c>
    </row>
    <row r="65" spans="1:7" x14ac:dyDescent="0.35">
      <c r="A65" s="1" t="s">
        <v>63</v>
      </c>
      <c r="B65">
        <v>65520</v>
      </c>
      <c r="C65">
        <v>71385.600000000006</v>
      </c>
      <c r="D65">
        <v>166795.20000000001</v>
      </c>
      <c r="E65">
        <v>2127840</v>
      </c>
      <c r="F65">
        <v>159868.79999999999</v>
      </c>
      <c r="G65">
        <v>65986.026974399996</v>
      </c>
    </row>
    <row r="66" spans="1:7" x14ac:dyDescent="0.35">
      <c r="A66" s="1" t="s">
        <v>64</v>
      </c>
      <c r="B66">
        <v>105487.2</v>
      </c>
      <c r="C66">
        <v>181708.80000000002</v>
      </c>
      <c r="D66">
        <v>108908.80000000002</v>
      </c>
      <c r="E66">
        <v>4028388</v>
      </c>
      <c r="F66">
        <v>750495.2</v>
      </c>
      <c r="G66">
        <v>158629.89076479999</v>
      </c>
    </row>
    <row r="67" spans="1:7" x14ac:dyDescent="0.35">
      <c r="A67" s="1" t="s">
        <v>65</v>
      </c>
      <c r="B67">
        <v>28392</v>
      </c>
      <c r="C67">
        <v>127764.00000000001</v>
      </c>
      <c r="D67">
        <v>256256.00000000003</v>
      </c>
      <c r="E67">
        <v>1047800</v>
      </c>
      <c r="F67">
        <v>111020</v>
      </c>
      <c r="G67">
        <v>210991.20161600003</v>
      </c>
    </row>
    <row r="68" spans="1:7" x14ac:dyDescent="0.35">
      <c r="A68" s="1" t="s">
        <v>66</v>
      </c>
      <c r="B68">
        <v>304012.80000000005</v>
      </c>
      <c r="C68">
        <v>219024</v>
      </c>
      <c r="D68">
        <v>2745.6000000000058</v>
      </c>
      <c r="E68">
        <v>6190080</v>
      </c>
      <c r="F68">
        <v>570960</v>
      </c>
      <c r="G68">
        <v>97477.173414399993</v>
      </c>
    </row>
    <row r="69" spans="1:7" x14ac:dyDescent="0.35">
      <c r="A69" s="1" t="s">
        <v>67</v>
      </c>
      <c r="B69">
        <v>17472</v>
      </c>
      <c r="C69">
        <v>140067.19999999998</v>
      </c>
      <c r="D69">
        <v>104332.8</v>
      </c>
      <c r="E69">
        <v>2978976</v>
      </c>
      <c r="F69">
        <v>266448</v>
      </c>
      <c r="G69">
        <v>297627.69537280005</v>
      </c>
    </row>
    <row r="70" spans="1:7" x14ac:dyDescent="0.35">
      <c r="A70" s="1" t="s">
        <v>68</v>
      </c>
      <c r="B70">
        <v>851760.00000000012</v>
      </c>
      <c r="C70">
        <v>69222.400000000009</v>
      </c>
      <c r="D70">
        <v>65894.400000000009</v>
      </c>
      <c r="E70">
        <v>2553408</v>
      </c>
      <c r="F70">
        <v>2535062.4</v>
      </c>
      <c r="G70">
        <v>638133.40897280001</v>
      </c>
    </row>
    <row r="71" spans="1:7" x14ac:dyDescent="0.35">
      <c r="A71" s="1" t="s">
        <v>69</v>
      </c>
      <c r="B71">
        <v>456456</v>
      </c>
      <c r="C71">
        <v>64896</v>
      </c>
      <c r="D71">
        <v>27456</v>
      </c>
      <c r="E71">
        <v>5561400</v>
      </c>
      <c r="F71">
        <v>742248</v>
      </c>
      <c r="G71">
        <v>373448.28976000007</v>
      </c>
    </row>
    <row r="72" spans="1:7" x14ac:dyDescent="0.35">
      <c r="A72" s="1" t="s">
        <v>70</v>
      </c>
      <c r="B72">
        <v>550368</v>
      </c>
      <c r="C72">
        <v>312312</v>
      </c>
      <c r="D72">
        <v>133848</v>
      </c>
      <c r="E72">
        <v>193440</v>
      </c>
      <c r="F72">
        <v>256932</v>
      </c>
      <c r="G72">
        <v>222600.85203200002</v>
      </c>
    </row>
    <row r="73" spans="1:7" x14ac:dyDescent="0.35">
      <c r="A73" s="1" t="s">
        <v>71</v>
      </c>
      <c r="B73">
        <v>432432</v>
      </c>
      <c r="C73">
        <v>676000</v>
      </c>
      <c r="D73">
        <v>233376.00000000003</v>
      </c>
      <c r="E73">
        <v>1499160</v>
      </c>
      <c r="F73">
        <v>371123.99999999994</v>
      </c>
      <c r="G73">
        <v>465482.85097600007</v>
      </c>
    </row>
    <row r="74" spans="1:7" x14ac:dyDescent="0.35">
      <c r="A74" s="1" t="s">
        <v>72</v>
      </c>
      <c r="B74">
        <v>9828</v>
      </c>
      <c r="C74">
        <v>233625.60000000003</v>
      </c>
      <c r="D74">
        <v>332217.60000000003</v>
      </c>
      <c r="E74">
        <v>9913800</v>
      </c>
      <c r="F74">
        <v>1119081.5999999999</v>
      </c>
      <c r="G74">
        <v>357100.04690880002</v>
      </c>
    </row>
    <row r="75" spans="1:7" x14ac:dyDescent="0.35">
      <c r="A75" s="1" t="s">
        <v>73</v>
      </c>
      <c r="B75">
        <v>406224</v>
      </c>
      <c r="C75">
        <v>216320</v>
      </c>
      <c r="D75">
        <v>311168</v>
      </c>
      <c r="E75">
        <v>10494120</v>
      </c>
      <c r="F75">
        <v>951600</v>
      </c>
      <c r="G75">
        <v>548886.62608000007</v>
      </c>
    </row>
    <row r="76" spans="1:7" x14ac:dyDescent="0.35">
      <c r="A76" s="1" t="s">
        <v>74</v>
      </c>
      <c r="B76">
        <v>139776</v>
      </c>
      <c r="C76">
        <v>4056</v>
      </c>
      <c r="D76">
        <v>80080</v>
      </c>
      <c r="E76">
        <v>947856</v>
      </c>
      <c r="F76">
        <v>46945.599999999977</v>
      </c>
      <c r="G76">
        <v>47206.841801600007</v>
      </c>
    </row>
    <row r="77" spans="1:7" x14ac:dyDescent="0.35">
      <c r="A77" s="1" t="s">
        <v>75</v>
      </c>
      <c r="B77">
        <v>65520</v>
      </c>
      <c r="C77">
        <v>180086.40000000002</v>
      </c>
      <c r="D77">
        <v>131788.80000000002</v>
      </c>
      <c r="E77">
        <v>391716</v>
      </c>
      <c r="F77">
        <v>399672</v>
      </c>
      <c r="G77">
        <v>160379.20572959998</v>
      </c>
    </row>
    <row r="78" spans="1:7" x14ac:dyDescent="0.35">
      <c r="A78" s="1" t="s">
        <v>76</v>
      </c>
      <c r="B78">
        <v>21840</v>
      </c>
      <c r="C78">
        <v>194688.00000000003</v>
      </c>
      <c r="D78">
        <v>411840.00000000012</v>
      </c>
      <c r="E78">
        <v>7544160</v>
      </c>
      <c r="F78">
        <v>2512224</v>
      </c>
      <c r="G78">
        <v>344858.37800960004</v>
      </c>
    </row>
    <row r="79" spans="1:7" x14ac:dyDescent="0.35">
      <c r="A79" s="1" t="s">
        <v>77</v>
      </c>
      <c r="B79">
        <v>147420</v>
      </c>
      <c r="C79">
        <v>43804.800000000017</v>
      </c>
      <c r="D79">
        <v>20592</v>
      </c>
      <c r="E79">
        <v>1320228</v>
      </c>
      <c r="F79">
        <v>334011.60000000009</v>
      </c>
      <c r="G79">
        <v>108642.29619359999</v>
      </c>
    </row>
    <row r="80" spans="1:7" x14ac:dyDescent="0.35">
      <c r="A80" s="1" t="s">
        <v>78</v>
      </c>
      <c r="B80">
        <v>428064</v>
      </c>
      <c r="C80">
        <v>234707.20000000004</v>
      </c>
      <c r="D80">
        <v>403603.20000000007</v>
      </c>
      <c r="E80">
        <v>2877420</v>
      </c>
      <c r="F80">
        <v>404112.79999999993</v>
      </c>
      <c r="G80">
        <v>416255.9722048</v>
      </c>
    </row>
    <row r="81" spans="1:7" x14ac:dyDescent="0.35">
      <c r="A81" s="1" t="s">
        <v>79</v>
      </c>
      <c r="B81">
        <v>20311.200000000012</v>
      </c>
      <c r="C81">
        <v>240115.20000000001</v>
      </c>
      <c r="D81">
        <v>64864.799999999988</v>
      </c>
      <c r="E81">
        <v>638352</v>
      </c>
      <c r="F81">
        <v>776505.6</v>
      </c>
      <c r="G81">
        <v>109157.51233920001</v>
      </c>
    </row>
    <row r="82" spans="1:7" x14ac:dyDescent="0.35">
      <c r="A82" s="1" t="s">
        <v>80</v>
      </c>
      <c r="B82">
        <v>760032</v>
      </c>
      <c r="C82">
        <v>47320</v>
      </c>
      <c r="D82">
        <v>80080.000000000015</v>
      </c>
      <c r="E82">
        <v>1289600</v>
      </c>
      <c r="F82">
        <v>704184</v>
      </c>
      <c r="G82">
        <v>290670.75668799994</v>
      </c>
    </row>
    <row r="83" spans="1:7" x14ac:dyDescent="0.35">
      <c r="A83" s="1" t="s">
        <v>81</v>
      </c>
      <c r="B83">
        <v>321048</v>
      </c>
      <c r="C83">
        <v>263640</v>
      </c>
      <c r="D83">
        <v>35464</v>
      </c>
      <c r="E83">
        <v>4352400</v>
      </c>
      <c r="F83">
        <v>166530</v>
      </c>
      <c r="G83">
        <v>129385.62883999999</v>
      </c>
    </row>
    <row r="84" spans="1:7" x14ac:dyDescent="0.35">
      <c r="A84" s="1" t="s">
        <v>82</v>
      </c>
      <c r="B84">
        <v>309582</v>
      </c>
      <c r="C84">
        <v>498888</v>
      </c>
      <c r="D84">
        <v>40040</v>
      </c>
      <c r="E84">
        <v>604500</v>
      </c>
      <c r="F84">
        <v>532896</v>
      </c>
      <c r="G84">
        <v>330513.140984</v>
      </c>
    </row>
    <row r="85" spans="1:7" x14ac:dyDescent="0.35">
      <c r="A85" s="1" t="s">
        <v>83</v>
      </c>
      <c r="B85">
        <v>114004.80000000002</v>
      </c>
      <c r="C85">
        <v>25958.400000000023</v>
      </c>
      <c r="D85">
        <v>140025.60000000001</v>
      </c>
      <c r="E85">
        <v>580320</v>
      </c>
      <c r="F85">
        <v>761280</v>
      </c>
      <c r="G85">
        <v>209862.23219519999</v>
      </c>
    </row>
    <row r="86" spans="1:7" x14ac:dyDescent="0.35">
      <c r="A86" s="1" t="s">
        <v>84</v>
      </c>
      <c r="B86">
        <v>6115.1999999999971</v>
      </c>
      <c r="C86">
        <v>90854.400000000009</v>
      </c>
      <c r="D86">
        <v>108680</v>
      </c>
      <c r="E86">
        <v>922064</v>
      </c>
      <c r="F86">
        <v>533530.39999999991</v>
      </c>
      <c r="G86">
        <v>89169.616640000007</v>
      </c>
    </row>
    <row r="87" spans="1:7" x14ac:dyDescent="0.35">
      <c r="A87" s="1" t="s">
        <v>85</v>
      </c>
      <c r="B87">
        <v>87360</v>
      </c>
      <c r="C87">
        <v>118976</v>
      </c>
      <c r="D87">
        <v>20592</v>
      </c>
      <c r="E87">
        <v>154752</v>
      </c>
      <c r="F87">
        <v>634400</v>
      </c>
      <c r="G87">
        <v>195326.65509760001</v>
      </c>
    </row>
    <row r="88" spans="1:7" x14ac:dyDescent="0.35">
      <c r="A88" s="1" t="s">
        <v>86</v>
      </c>
      <c r="B88">
        <v>140649.60000000001</v>
      </c>
      <c r="C88">
        <v>27040</v>
      </c>
      <c r="D88">
        <v>155584.00000000003</v>
      </c>
      <c r="E88">
        <v>219232</v>
      </c>
      <c r="F88">
        <v>824720</v>
      </c>
      <c r="G88">
        <v>98023.007679999995</v>
      </c>
    </row>
    <row r="89" spans="1:7" x14ac:dyDescent="0.35">
      <c r="A89" s="1" t="s">
        <v>87</v>
      </c>
      <c r="B89">
        <v>536608.80000000005</v>
      </c>
      <c r="C89">
        <v>321235.20000000001</v>
      </c>
      <c r="D89">
        <v>391248</v>
      </c>
      <c r="E89">
        <v>3656016</v>
      </c>
      <c r="F89">
        <v>316882.8</v>
      </c>
      <c r="G89">
        <v>581207.33024640009</v>
      </c>
    </row>
    <row r="90" spans="1:7" x14ac:dyDescent="0.35">
      <c r="A90" s="1" t="s">
        <v>88</v>
      </c>
      <c r="B90">
        <v>184984.80000000005</v>
      </c>
      <c r="C90">
        <v>104104</v>
      </c>
      <c r="D90">
        <v>288288</v>
      </c>
      <c r="E90">
        <v>1805440</v>
      </c>
      <c r="F90">
        <v>79934.399999999994</v>
      </c>
      <c r="G90">
        <v>474666.65427999996</v>
      </c>
    </row>
    <row r="91" spans="1:7" x14ac:dyDescent="0.35">
      <c r="A91" s="1" t="s">
        <v>89</v>
      </c>
      <c r="B91">
        <v>259459.20000000001</v>
      </c>
      <c r="C91">
        <v>705744</v>
      </c>
      <c r="D91">
        <v>257400.00000000006</v>
      </c>
      <c r="E91">
        <v>3327168</v>
      </c>
      <c r="F91">
        <v>1141919.9999999998</v>
      </c>
      <c r="G91">
        <v>197387.73749759997</v>
      </c>
    </row>
    <row r="92" spans="1:7" x14ac:dyDescent="0.35">
      <c r="A92" s="1" t="s">
        <v>90</v>
      </c>
      <c r="B92">
        <v>87141.6</v>
      </c>
      <c r="C92">
        <v>199555.20000000001</v>
      </c>
      <c r="D92">
        <v>181209.60000000001</v>
      </c>
      <c r="E92">
        <v>4642560</v>
      </c>
      <c r="F92">
        <v>439639.19999999995</v>
      </c>
      <c r="G92">
        <v>460872.36012480006</v>
      </c>
    </row>
    <row r="93" spans="1:7" x14ac:dyDescent="0.35">
      <c r="A93" s="1" t="s">
        <v>91</v>
      </c>
      <c r="B93">
        <v>111384</v>
      </c>
      <c r="C93">
        <v>63273.600000000006</v>
      </c>
      <c r="D93">
        <v>321235.20000000001</v>
      </c>
      <c r="E93">
        <v>2398656</v>
      </c>
      <c r="F93">
        <v>586185.6</v>
      </c>
      <c r="G93">
        <v>252243.90409919998</v>
      </c>
    </row>
    <row r="94" spans="1:7" x14ac:dyDescent="0.35">
      <c r="A94" s="1" t="s">
        <v>92</v>
      </c>
      <c r="B94">
        <v>39312</v>
      </c>
      <c r="C94">
        <v>605696</v>
      </c>
      <c r="D94">
        <v>201344</v>
      </c>
      <c r="E94">
        <v>4513600</v>
      </c>
      <c r="F94">
        <v>2464644</v>
      </c>
      <c r="G94">
        <v>555428.44052800001</v>
      </c>
    </row>
    <row r="95" spans="1:7" x14ac:dyDescent="0.35">
      <c r="A95" s="1" t="s">
        <v>93</v>
      </c>
      <c r="B95">
        <v>38984.400000000009</v>
      </c>
      <c r="C95">
        <v>51105.599999999977</v>
      </c>
      <c r="D95">
        <v>840840</v>
      </c>
      <c r="E95">
        <v>3554460</v>
      </c>
      <c r="F95">
        <v>659458.79999999981</v>
      </c>
      <c r="G95">
        <v>469823.37525760004</v>
      </c>
    </row>
    <row r="96" spans="1:7" x14ac:dyDescent="0.35">
      <c r="A96" s="1" t="s">
        <v>94</v>
      </c>
      <c r="B96">
        <v>105487.20000000001</v>
      </c>
      <c r="C96">
        <v>130603.20000000001</v>
      </c>
      <c r="D96">
        <v>128356.80000000005</v>
      </c>
      <c r="E96">
        <v>232128</v>
      </c>
      <c r="F96">
        <v>488170.79999999993</v>
      </c>
      <c r="G96">
        <v>113675.62514880003</v>
      </c>
    </row>
    <row r="97" spans="1:7" x14ac:dyDescent="0.35">
      <c r="A97" s="1" t="s">
        <v>95</v>
      </c>
      <c r="B97">
        <v>31668</v>
      </c>
      <c r="C97">
        <v>47590.399999999994</v>
      </c>
      <c r="D97">
        <v>66352</v>
      </c>
      <c r="E97">
        <v>2356744</v>
      </c>
      <c r="F97">
        <v>120536</v>
      </c>
      <c r="G97">
        <v>114327.23731520001</v>
      </c>
    </row>
    <row r="98" spans="1:7" x14ac:dyDescent="0.35">
      <c r="A98" s="1" t="s">
        <v>96</v>
      </c>
      <c r="B98">
        <v>113568</v>
      </c>
      <c r="C98">
        <v>533228.80000000005</v>
      </c>
      <c r="D98">
        <v>9152</v>
      </c>
      <c r="E98">
        <v>1225120</v>
      </c>
      <c r="F98">
        <v>365414.39999999997</v>
      </c>
      <c r="G98">
        <v>228870.1865216</v>
      </c>
    </row>
    <row r="99" spans="1:7" x14ac:dyDescent="0.35">
      <c r="A99" s="1" t="s">
        <v>97</v>
      </c>
      <c r="B99">
        <v>163800</v>
      </c>
      <c r="C99">
        <v>109512</v>
      </c>
      <c r="D99">
        <v>41184.000000000007</v>
      </c>
      <c r="E99">
        <v>3707600</v>
      </c>
      <c r="F99">
        <v>802515.99999999988</v>
      </c>
      <c r="G99">
        <v>278024.07380800002</v>
      </c>
    </row>
    <row r="100" spans="1:7" x14ac:dyDescent="0.35">
      <c r="A100" s="1" t="s">
        <v>98</v>
      </c>
      <c r="B100">
        <v>314496</v>
      </c>
      <c r="C100">
        <v>949104</v>
      </c>
      <c r="D100">
        <v>955468.80000000005</v>
      </c>
      <c r="E100">
        <v>2234232</v>
      </c>
      <c r="F100">
        <v>1019163.6</v>
      </c>
      <c r="G100">
        <v>563633.45045280003</v>
      </c>
    </row>
    <row r="101" spans="1:7" x14ac:dyDescent="0.35">
      <c r="A101" s="1" t="s">
        <v>99</v>
      </c>
      <c r="B101">
        <v>459950.4</v>
      </c>
      <c r="C101">
        <v>302848</v>
      </c>
      <c r="D101">
        <v>178464</v>
      </c>
      <c r="E101">
        <v>3185312</v>
      </c>
      <c r="F101">
        <v>445348.79999999993</v>
      </c>
      <c r="G101">
        <v>215024.39246080007</v>
      </c>
    </row>
    <row r="102" spans="1:7" x14ac:dyDescent="0.35">
      <c r="A102" s="1" t="s">
        <v>100</v>
      </c>
      <c r="B102">
        <v>196560</v>
      </c>
      <c r="C102">
        <v>220646.40000000002</v>
      </c>
      <c r="D102">
        <v>9266.3999999999942</v>
      </c>
      <c r="E102">
        <v>2350296</v>
      </c>
      <c r="F102">
        <v>496735.19999999995</v>
      </c>
      <c r="G102">
        <v>245198.20802880003</v>
      </c>
    </row>
    <row r="103" spans="1:7" x14ac:dyDescent="0.35">
      <c r="A103" s="1" t="s">
        <v>101</v>
      </c>
      <c r="B103">
        <v>34070.399999999994</v>
      </c>
      <c r="C103">
        <v>56784</v>
      </c>
      <c r="D103">
        <v>148262.40000000002</v>
      </c>
      <c r="E103">
        <v>502944</v>
      </c>
      <c r="F103">
        <v>634717.19999999995</v>
      </c>
      <c r="G103">
        <v>97810.983004799986</v>
      </c>
    </row>
    <row r="104" spans="1:7" x14ac:dyDescent="0.35">
      <c r="A104" s="1" t="s">
        <v>102</v>
      </c>
      <c r="B104">
        <v>340704</v>
      </c>
      <c r="C104">
        <v>87609.600000000006</v>
      </c>
      <c r="D104">
        <v>68640</v>
      </c>
      <c r="E104">
        <v>677040</v>
      </c>
      <c r="F104">
        <v>83740.800000000047</v>
      </c>
      <c r="G104">
        <v>254166.49623039999</v>
      </c>
    </row>
    <row r="105" spans="1:7" x14ac:dyDescent="0.35">
      <c r="A105" s="1" t="s">
        <v>103</v>
      </c>
      <c r="B105">
        <v>940212.00000000012</v>
      </c>
      <c r="C105">
        <v>389376</v>
      </c>
      <c r="D105">
        <v>240240</v>
      </c>
      <c r="E105">
        <v>4964960</v>
      </c>
      <c r="F105">
        <v>1624064</v>
      </c>
      <c r="G105">
        <v>646141.66115200007</v>
      </c>
    </row>
    <row r="106" spans="1:7" x14ac:dyDescent="0.35">
      <c r="A106" s="1" t="s">
        <v>104</v>
      </c>
      <c r="B106">
        <v>122850</v>
      </c>
      <c r="C106">
        <v>7030.4000000000233</v>
      </c>
      <c r="D106">
        <v>77334.400000000023</v>
      </c>
      <c r="E106">
        <v>64480</v>
      </c>
      <c r="F106">
        <v>279136</v>
      </c>
      <c r="G106">
        <v>80833.949747200008</v>
      </c>
    </row>
    <row r="107" spans="1:7" x14ac:dyDescent="0.35">
      <c r="A107" s="1" t="s">
        <v>105</v>
      </c>
      <c r="B107">
        <v>27081.600000000006</v>
      </c>
      <c r="C107">
        <v>283920</v>
      </c>
      <c r="D107">
        <v>140940.80000000002</v>
      </c>
      <c r="E107">
        <v>1973088</v>
      </c>
      <c r="F107">
        <v>266448</v>
      </c>
      <c r="G107">
        <v>324944.08910079999</v>
      </c>
    </row>
    <row r="108" spans="1:7" x14ac:dyDescent="0.35">
      <c r="A108" s="1" t="s">
        <v>106</v>
      </c>
      <c r="B108">
        <v>25552.800000000003</v>
      </c>
      <c r="C108">
        <v>325561.60000000003</v>
      </c>
      <c r="D108">
        <v>19219.199999999997</v>
      </c>
      <c r="E108">
        <v>128960</v>
      </c>
      <c r="F108">
        <v>618539.99999999988</v>
      </c>
      <c r="G108">
        <v>155200.67825599998</v>
      </c>
    </row>
    <row r="109" spans="1:7" x14ac:dyDescent="0.35">
      <c r="A109" s="1" t="s">
        <v>107</v>
      </c>
      <c r="B109">
        <v>101665.2</v>
      </c>
      <c r="C109">
        <v>227136</v>
      </c>
      <c r="D109">
        <v>160160</v>
      </c>
      <c r="E109">
        <v>6206200</v>
      </c>
      <c r="F109">
        <v>2464644</v>
      </c>
      <c r="G109">
        <v>426199.3738912</v>
      </c>
    </row>
    <row r="110" spans="1:7" x14ac:dyDescent="0.35">
      <c r="A110" s="1" t="s">
        <v>108</v>
      </c>
      <c r="B110">
        <v>94348.800000000003</v>
      </c>
      <c r="C110">
        <v>243360</v>
      </c>
      <c r="D110">
        <v>329472</v>
      </c>
      <c r="E110">
        <v>2998320</v>
      </c>
      <c r="F110">
        <v>108482.39999999991</v>
      </c>
      <c r="G110">
        <v>459178.50638399995</v>
      </c>
    </row>
    <row r="111" spans="1:7" x14ac:dyDescent="0.35">
      <c r="A111" s="1" t="s">
        <v>109</v>
      </c>
      <c r="B111">
        <v>290472</v>
      </c>
      <c r="C111">
        <v>1135680</v>
      </c>
      <c r="D111">
        <v>829400</v>
      </c>
      <c r="E111">
        <v>5077800</v>
      </c>
      <c r="F111">
        <v>288652</v>
      </c>
      <c r="G111">
        <v>684785.89940800006</v>
      </c>
    </row>
    <row r="112" spans="1:7" x14ac:dyDescent="0.35">
      <c r="A112" s="1" t="s">
        <v>110</v>
      </c>
      <c r="B112">
        <v>522849.60000000003</v>
      </c>
      <c r="C112">
        <v>963705.60000000009</v>
      </c>
      <c r="D112">
        <v>679536.00000000012</v>
      </c>
      <c r="E112">
        <v>18512208</v>
      </c>
      <c r="F112">
        <v>1199015.9999999998</v>
      </c>
      <c r="G112">
        <v>511855.85561760003</v>
      </c>
    </row>
    <row r="113" spans="1:7" x14ac:dyDescent="0.35">
      <c r="A113" s="1" t="s">
        <v>111</v>
      </c>
      <c r="B113">
        <v>116188.79999999999</v>
      </c>
      <c r="C113">
        <v>98425.599999999977</v>
      </c>
      <c r="D113">
        <v>95180.800000000047</v>
      </c>
      <c r="E113">
        <v>1682928</v>
      </c>
      <c r="F113">
        <v>690227.19999999995</v>
      </c>
      <c r="G113">
        <v>239016.93112960004</v>
      </c>
    </row>
    <row r="114" spans="1:7" x14ac:dyDescent="0.35">
      <c r="A114" s="1" t="s">
        <v>112</v>
      </c>
      <c r="B114">
        <v>14414.399999999994</v>
      </c>
      <c r="C114">
        <v>44616</v>
      </c>
      <c r="D114">
        <v>133848.00000000003</v>
      </c>
      <c r="E114">
        <v>1247688</v>
      </c>
      <c r="F114">
        <v>37112.400000000023</v>
      </c>
      <c r="G114">
        <v>40456.317303999997</v>
      </c>
    </row>
    <row r="115" spans="1:7" x14ac:dyDescent="0.35">
      <c r="A115" s="1" t="s">
        <v>113</v>
      </c>
      <c r="B115">
        <v>94348.800000000003</v>
      </c>
      <c r="C115">
        <v>261747.20000000001</v>
      </c>
      <c r="D115">
        <v>255340.80000000002</v>
      </c>
      <c r="E115">
        <v>10058880</v>
      </c>
      <c r="F115">
        <v>1986940.7999999998</v>
      </c>
      <c r="G115">
        <v>340195.91490560002</v>
      </c>
    </row>
    <row r="116" spans="1:7" x14ac:dyDescent="0.35">
      <c r="A116" s="1" t="s">
        <v>114</v>
      </c>
      <c r="B116">
        <v>196560</v>
      </c>
      <c r="C116">
        <v>162240</v>
      </c>
      <c r="D116">
        <v>315744</v>
      </c>
      <c r="E116">
        <v>4642560</v>
      </c>
      <c r="F116">
        <v>1110200</v>
      </c>
      <c r="G116">
        <v>380507.11649600003</v>
      </c>
    </row>
    <row r="117" spans="1:7" x14ac:dyDescent="0.35">
      <c r="A117" s="1" t="s">
        <v>115</v>
      </c>
      <c r="B117">
        <v>518918.39999999997</v>
      </c>
      <c r="C117">
        <v>956134.40000000002</v>
      </c>
      <c r="D117">
        <v>90604.799999999988</v>
      </c>
      <c r="E117">
        <v>6770400</v>
      </c>
      <c r="F117">
        <v>83740.800000000047</v>
      </c>
      <c r="G117">
        <v>167832.05603840001</v>
      </c>
    </row>
    <row r="118" spans="1:7" x14ac:dyDescent="0.35">
      <c r="A118" s="1" t="s">
        <v>116</v>
      </c>
      <c r="B118">
        <v>122304</v>
      </c>
      <c r="C118">
        <v>605696</v>
      </c>
      <c r="D118">
        <v>109824</v>
      </c>
      <c r="E118">
        <v>1857024</v>
      </c>
      <c r="F118">
        <v>159868.79999999999</v>
      </c>
      <c r="G118">
        <v>231146.3802752</v>
      </c>
    </row>
    <row r="119" spans="1:7" x14ac:dyDescent="0.35">
      <c r="A119" s="1" t="s">
        <v>117</v>
      </c>
      <c r="B119">
        <v>55036.800000000003</v>
      </c>
      <c r="C119">
        <v>127764</v>
      </c>
      <c r="D119">
        <v>247104.00000000006</v>
      </c>
      <c r="E119">
        <v>1436292</v>
      </c>
      <c r="F119">
        <v>459622.79999999993</v>
      </c>
      <c r="G119">
        <v>193341.71719200001</v>
      </c>
    </row>
    <row r="120" spans="1:7" x14ac:dyDescent="0.35">
      <c r="A120" s="1" t="s">
        <v>118</v>
      </c>
      <c r="B120">
        <v>451105.2</v>
      </c>
      <c r="C120">
        <v>54756</v>
      </c>
      <c r="D120">
        <v>52509.600000000006</v>
      </c>
      <c r="E120">
        <v>11490336</v>
      </c>
      <c r="F120">
        <v>139885.19999999995</v>
      </c>
      <c r="G120">
        <v>464969.69288640004</v>
      </c>
    </row>
    <row r="121" spans="1:7" x14ac:dyDescent="0.35">
      <c r="A121" s="1" t="s">
        <v>119</v>
      </c>
      <c r="B121">
        <v>200928.00000000003</v>
      </c>
      <c r="C121">
        <v>86528.000000000015</v>
      </c>
      <c r="D121">
        <v>228800</v>
      </c>
      <c r="E121">
        <v>2514720</v>
      </c>
      <c r="F121">
        <v>222039.99999999997</v>
      </c>
      <c r="G121">
        <v>316033.29305600002</v>
      </c>
    </row>
    <row r="122" spans="1:7" x14ac:dyDescent="0.35">
      <c r="A122" s="1" t="s">
        <v>120</v>
      </c>
      <c r="B122">
        <v>149385.60000000001</v>
      </c>
      <c r="C122">
        <v>590553.60000000009</v>
      </c>
      <c r="D122">
        <v>32947.200000000012</v>
      </c>
      <c r="E122">
        <v>2695264</v>
      </c>
      <c r="F122">
        <v>380639.99999999994</v>
      </c>
      <c r="G122">
        <v>158834.12995839998</v>
      </c>
    </row>
    <row r="123" spans="1:7" x14ac:dyDescent="0.35">
      <c r="A123" s="1" t="s">
        <v>121</v>
      </c>
      <c r="B123">
        <v>240786</v>
      </c>
      <c r="C123">
        <v>588931.20000000007</v>
      </c>
      <c r="D123">
        <v>71042.400000000009</v>
      </c>
      <c r="E123">
        <v>14493492</v>
      </c>
      <c r="F123">
        <v>1370304</v>
      </c>
      <c r="G123">
        <v>626331.34549440001</v>
      </c>
    </row>
    <row r="124" spans="1:7" x14ac:dyDescent="0.35">
      <c r="A124" s="1" t="s">
        <v>122</v>
      </c>
      <c r="B124">
        <v>114004.8</v>
      </c>
      <c r="C124">
        <v>328806.39999999997</v>
      </c>
      <c r="D124">
        <v>322150.40000000002</v>
      </c>
      <c r="E124">
        <v>2695264</v>
      </c>
      <c r="F124">
        <v>1712880</v>
      </c>
      <c r="G124">
        <v>257448.06880000001</v>
      </c>
    </row>
    <row r="125" spans="1:7" x14ac:dyDescent="0.35">
      <c r="A125" s="1" t="s">
        <v>123</v>
      </c>
      <c r="B125">
        <v>330220.80000000005</v>
      </c>
      <c r="C125">
        <v>674918.40000000002</v>
      </c>
      <c r="D125">
        <v>556441.60000000009</v>
      </c>
      <c r="E125">
        <v>4874688</v>
      </c>
      <c r="F125">
        <v>2207712</v>
      </c>
      <c r="G125">
        <v>341048.105216</v>
      </c>
    </row>
    <row r="126" spans="1:7" x14ac:dyDescent="0.35">
      <c r="A126" s="1" t="s">
        <v>124</v>
      </c>
      <c r="B126">
        <v>419328</v>
      </c>
      <c r="C126">
        <v>404518.40000000002</v>
      </c>
      <c r="D126">
        <v>812697.60000000009</v>
      </c>
      <c r="E126">
        <v>7015424</v>
      </c>
      <c r="F126">
        <v>274060.80000000005</v>
      </c>
      <c r="G126">
        <v>234473.3835392</v>
      </c>
    </row>
    <row r="127" spans="1:7" x14ac:dyDescent="0.35">
      <c r="A127" s="1" t="s">
        <v>125</v>
      </c>
      <c r="B127">
        <v>366912.00000000006</v>
      </c>
      <c r="C127">
        <v>74360</v>
      </c>
      <c r="D127">
        <v>1057056</v>
      </c>
      <c r="E127">
        <v>9188400</v>
      </c>
      <c r="F127">
        <v>602680</v>
      </c>
      <c r="G127">
        <v>298318.70348800003</v>
      </c>
    </row>
    <row r="128" spans="1:7" x14ac:dyDescent="0.35">
      <c r="A128" s="1" t="s">
        <v>126</v>
      </c>
      <c r="B128">
        <v>22932</v>
      </c>
      <c r="C128">
        <v>1333072</v>
      </c>
      <c r="D128">
        <v>152152</v>
      </c>
      <c r="E128">
        <v>483600</v>
      </c>
      <c r="F128">
        <v>1532075.9999999998</v>
      </c>
      <c r="G128">
        <v>419636.44465600001</v>
      </c>
    </row>
    <row r="129" spans="1:7" x14ac:dyDescent="0.35">
      <c r="A129" s="1" t="s">
        <v>127</v>
      </c>
      <c r="B129">
        <v>41495.999999999993</v>
      </c>
      <c r="C129">
        <v>369096</v>
      </c>
      <c r="D129">
        <v>74360</v>
      </c>
      <c r="E129">
        <v>1088100</v>
      </c>
      <c r="F129">
        <v>577304</v>
      </c>
      <c r="G129">
        <v>196775.72345600001</v>
      </c>
    </row>
    <row r="130" spans="1:7" x14ac:dyDescent="0.35">
      <c r="A130" s="1" t="s">
        <v>128</v>
      </c>
      <c r="B130">
        <v>109200</v>
      </c>
      <c r="C130">
        <v>973440</v>
      </c>
      <c r="D130">
        <v>491920.00000000006</v>
      </c>
      <c r="E130">
        <v>12992720</v>
      </c>
      <c r="F130">
        <v>3235439.9999999995</v>
      </c>
      <c r="G130">
        <v>755226.13753599999</v>
      </c>
    </row>
    <row r="131" spans="1:7" x14ac:dyDescent="0.35">
      <c r="A131" s="1" t="s">
        <v>129</v>
      </c>
      <c r="B131">
        <v>247010.40000000002</v>
      </c>
      <c r="C131">
        <v>197121.60000000009</v>
      </c>
      <c r="D131">
        <v>10982.400000000023</v>
      </c>
      <c r="E131">
        <v>8695128</v>
      </c>
      <c r="F131">
        <v>74224.799999999814</v>
      </c>
      <c r="G131">
        <v>229927.52178240009</v>
      </c>
    </row>
    <row r="132" spans="1:7" x14ac:dyDescent="0.35">
      <c r="A132" s="1" t="s">
        <v>130</v>
      </c>
      <c r="B132">
        <v>103194</v>
      </c>
      <c r="C132">
        <v>193065.60000000003</v>
      </c>
      <c r="D132">
        <v>290690.40000000002</v>
      </c>
      <c r="E132">
        <v>2685592</v>
      </c>
      <c r="F132">
        <v>421876</v>
      </c>
      <c r="G132">
        <v>225730.31877760001</v>
      </c>
    </row>
    <row r="133" spans="1:7" x14ac:dyDescent="0.35">
      <c r="A133" s="1" t="s">
        <v>131</v>
      </c>
      <c r="B133">
        <v>45427.200000000004</v>
      </c>
      <c r="C133">
        <v>73008.000000000015</v>
      </c>
      <c r="D133">
        <v>71500</v>
      </c>
      <c r="E133">
        <v>1773200</v>
      </c>
      <c r="F133">
        <v>7295.5999999999767</v>
      </c>
      <c r="G133">
        <v>70528.266452800017</v>
      </c>
    </row>
    <row r="134" spans="1:7" x14ac:dyDescent="0.35">
      <c r="A134" s="1" t="s">
        <v>132</v>
      </c>
      <c r="B134">
        <v>766584.00000000012</v>
      </c>
      <c r="C134">
        <v>121680</v>
      </c>
      <c r="D134">
        <v>82368.000000000015</v>
      </c>
      <c r="E134">
        <v>12235080</v>
      </c>
      <c r="F134">
        <v>856440</v>
      </c>
      <c r="G134">
        <v>292515.490384</v>
      </c>
    </row>
    <row r="135" spans="1:7" x14ac:dyDescent="0.35">
      <c r="A135" s="1" t="s">
        <v>133</v>
      </c>
      <c r="B135">
        <v>733824.00000000012</v>
      </c>
      <c r="C135">
        <v>719264.00000000012</v>
      </c>
      <c r="D135">
        <v>704704.00000000012</v>
      </c>
      <c r="E135">
        <v>15604160</v>
      </c>
      <c r="F135">
        <v>976975.99999999988</v>
      </c>
      <c r="G135">
        <v>262020.16172800004</v>
      </c>
    </row>
    <row r="136" spans="1:7" x14ac:dyDescent="0.35">
      <c r="A136" s="1" t="s">
        <v>134</v>
      </c>
      <c r="B136">
        <v>114987.59999999998</v>
      </c>
      <c r="C136">
        <v>399110.40000000002</v>
      </c>
      <c r="D136">
        <v>148262.40000000002</v>
      </c>
      <c r="E136">
        <v>870480</v>
      </c>
      <c r="F136">
        <v>539557.19999999995</v>
      </c>
      <c r="G136">
        <v>66369.533880000003</v>
      </c>
    </row>
    <row r="137" spans="1:7" x14ac:dyDescent="0.35">
      <c r="A137" s="1" t="s">
        <v>135</v>
      </c>
      <c r="B137">
        <v>15069.600000000006</v>
      </c>
      <c r="C137">
        <v>26499.200000000012</v>
      </c>
      <c r="D137">
        <v>72987.200000000012</v>
      </c>
      <c r="E137">
        <v>507780</v>
      </c>
      <c r="F137">
        <v>337500.8</v>
      </c>
      <c r="G137">
        <v>55023.012428800001</v>
      </c>
    </row>
    <row r="138" spans="1:7" x14ac:dyDescent="0.35">
      <c r="A138" s="1" t="s">
        <v>136</v>
      </c>
      <c r="B138">
        <v>798033.6</v>
      </c>
      <c r="C138">
        <v>282973.60000000003</v>
      </c>
      <c r="D138">
        <v>470870.40000000008</v>
      </c>
      <c r="E138">
        <v>2335788</v>
      </c>
      <c r="F138">
        <v>1110200</v>
      </c>
      <c r="G138">
        <v>516291.46354239999</v>
      </c>
    </row>
    <row r="139" spans="1:7" x14ac:dyDescent="0.35">
      <c r="A139" s="1" t="s">
        <v>137</v>
      </c>
      <c r="B139">
        <v>58968</v>
      </c>
      <c r="C139">
        <v>269724</v>
      </c>
      <c r="D139">
        <v>34320</v>
      </c>
      <c r="E139">
        <v>1262196</v>
      </c>
      <c r="F139">
        <v>355898.39999999991</v>
      </c>
      <c r="G139">
        <v>224688.3723552</v>
      </c>
    </row>
    <row r="140" spans="1:7" x14ac:dyDescent="0.35">
      <c r="A140" s="1" t="s">
        <v>138</v>
      </c>
      <c r="B140">
        <v>178869.6</v>
      </c>
      <c r="C140">
        <v>272563.19999999995</v>
      </c>
      <c r="D140">
        <v>178464</v>
      </c>
      <c r="E140">
        <v>1595880</v>
      </c>
      <c r="F140">
        <v>239803.19999999998</v>
      </c>
      <c r="G140">
        <v>200192.30400000003</v>
      </c>
    </row>
    <row r="141" spans="1:7" x14ac:dyDescent="0.35">
      <c r="A141" s="1" t="s">
        <v>139</v>
      </c>
      <c r="B141">
        <v>33196.799999999988</v>
      </c>
      <c r="C141">
        <v>194688</v>
      </c>
      <c r="D141">
        <v>172972.80000000002</v>
      </c>
      <c r="E141">
        <v>8795072</v>
      </c>
      <c r="F141">
        <v>30451.199999999983</v>
      </c>
      <c r="G141">
        <v>240988.1591936</v>
      </c>
    </row>
    <row r="142" spans="1:7" x14ac:dyDescent="0.35">
      <c r="A142" s="1" t="s">
        <v>140</v>
      </c>
      <c r="B142">
        <v>52416</v>
      </c>
      <c r="C142">
        <v>128710.40000000001</v>
      </c>
      <c r="D142">
        <v>11440</v>
      </c>
      <c r="E142">
        <v>264368</v>
      </c>
      <c r="F142">
        <v>220771.19999999998</v>
      </c>
      <c r="G142">
        <v>159756.2762432</v>
      </c>
    </row>
    <row r="143" spans="1:7" x14ac:dyDescent="0.35">
      <c r="A143" s="1" t="s">
        <v>141</v>
      </c>
      <c r="B143">
        <v>545126.40000000002</v>
      </c>
      <c r="C143">
        <v>77875.200000000012</v>
      </c>
      <c r="D143">
        <v>457600</v>
      </c>
      <c r="E143">
        <v>3095040</v>
      </c>
      <c r="F143">
        <v>692764.79999999993</v>
      </c>
      <c r="G143">
        <v>178112.5718528</v>
      </c>
    </row>
    <row r="144" spans="1:7" x14ac:dyDescent="0.35">
      <c r="A144" s="1" t="s">
        <v>142</v>
      </c>
      <c r="B144">
        <v>775756.80000000005</v>
      </c>
      <c r="C144">
        <v>369907.19999999995</v>
      </c>
      <c r="D144">
        <v>212326.40000000002</v>
      </c>
      <c r="E144">
        <v>11915904</v>
      </c>
      <c r="F144">
        <v>334963.19999999995</v>
      </c>
      <c r="G144">
        <v>176126.4911744</v>
      </c>
    </row>
    <row r="145" spans="1:7" x14ac:dyDescent="0.35">
      <c r="A145" s="1" t="s">
        <v>143</v>
      </c>
      <c r="B145">
        <v>71635.199999999953</v>
      </c>
      <c r="C145">
        <v>321235.20000000001</v>
      </c>
      <c r="D145">
        <v>25168</v>
      </c>
      <c r="E145">
        <v>451360</v>
      </c>
      <c r="F145">
        <v>91353.599999999977</v>
      </c>
      <c r="G145">
        <v>320745.5812288</v>
      </c>
    </row>
    <row r="146" spans="1:7" x14ac:dyDescent="0.35">
      <c r="A146" s="1" t="s">
        <v>144</v>
      </c>
      <c r="B146">
        <v>24460.800000000003</v>
      </c>
      <c r="C146">
        <v>87339.200000000012</v>
      </c>
      <c r="D146">
        <v>163363.20000000001</v>
      </c>
      <c r="E146">
        <v>2785536</v>
      </c>
      <c r="F146">
        <v>380640</v>
      </c>
      <c r="G146">
        <v>125473.61677759999</v>
      </c>
    </row>
    <row r="147" spans="1:7" x14ac:dyDescent="0.35">
      <c r="A147" s="1" t="s">
        <v>145</v>
      </c>
      <c r="B147">
        <v>230630.40000000002</v>
      </c>
      <c r="C147">
        <v>131414.40000000002</v>
      </c>
      <c r="D147">
        <v>446160.00000000012</v>
      </c>
      <c r="E147">
        <v>6499584</v>
      </c>
      <c r="F147">
        <v>700377.59999999998</v>
      </c>
      <c r="G147">
        <v>144737.33647360001</v>
      </c>
    </row>
    <row r="148" spans="1:7" x14ac:dyDescent="0.35">
      <c r="A148" s="1" t="s">
        <v>146</v>
      </c>
      <c r="B148">
        <v>546000</v>
      </c>
      <c r="C148">
        <v>237952</v>
      </c>
      <c r="D148">
        <v>44844.799999999988</v>
      </c>
      <c r="E148">
        <v>3714048</v>
      </c>
      <c r="F148">
        <v>2159497.5999999996</v>
      </c>
      <c r="G148">
        <v>256056.34995200002</v>
      </c>
    </row>
    <row r="149" spans="1:7" x14ac:dyDescent="0.35">
      <c r="A149" s="1" t="s">
        <v>147</v>
      </c>
      <c r="B149">
        <v>199508.40000000002</v>
      </c>
      <c r="C149">
        <v>292032.00000000006</v>
      </c>
      <c r="D149">
        <v>232003.20000000001</v>
      </c>
      <c r="E149">
        <v>628680</v>
      </c>
      <c r="F149">
        <v>228384</v>
      </c>
      <c r="G149">
        <v>88833.778550399991</v>
      </c>
    </row>
    <row r="150" spans="1:7" x14ac:dyDescent="0.35">
      <c r="A150" s="1" t="s">
        <v>148</v>
      </c>
      <c r="B150">
        <v>17035.200000000012</v>
      </c>
      <c r="C150">
        <v>205504</v>
      </c>
      <c r="D150">
        <v>48048</v>
      </c>
      <c r="E150">
        <v>1134848</v>
      </c>
      <c r="F150">
        <v>761280</v>
      </c>
      <c r="G150">
        <v>268988.18227840005</v>
      </c>
    </row>
    <row r="151" spans="1:7" x14ac:dyDescent="0.35">
      <c r="A151" s="1" t="s">
        <v>149</v>
      </c>
      <c r="B151">
        <v>363854.4</v>
      </c>
      <c r="C151">
        <v>112621.59999999999</v>
      </c>
      <c r="D151">
        <v>622221.6</v>
      </c>
      <c r="E151">
        <v>7289464</v>
      </c>
      <c r="F151">
        <v>2124922.7999999998</v>
      </c>
      <c r="G151">
        <v>421269.51805119996</v>
      </c>
    </row>
    <row r="152" spans="1:7" x14ac:dyDescent="0.35">
      <c r="A152" s="1" t="s">
        <v>150</v>
      </c>
      <c r="B152">
        <v>428064</v>
      </c>
      <c r="C152">
        <v>666265.59999999998</v>
      </c>
      <c r="D152">
        <v>988416</v>
      </c>
      <c r="E152">
        <v>7350720</v>
      </c>
      <c r="F152">
        <v>106579.19999999995</v>
      </c>
      <c r="G152">
        <v>435335.39528960001</v>
      </c>
    </row>
    <row r="153" spans="1:7" x14ac:dyDescent="0.35">
      <c r="A153" s="1" t="s">
        <v>151</v>
      </c>
      <c r="B153">
        <v>113568</v>
      </c>
      <c r="C153">
        <v>113568</v>
      </c>
      <c r="D153">
        <v>719576</v>
      </c>
      <c r="E153">
        <v>8221200</v>
      </c>
      <c r="F153">
        <v>2372656</v>
      </c>
      <c r="G153">
        <v>798568.91795200005</v>
      </c>
    </row>
    <row r="154" spans="1:7" x14ac:dyDescent="0.35">
      <c r="A154" s="1" t="s">
        <v>152</v>
      </c>
      <c r="B154">
        <v>66393.599999999991</v>
      </c>
      <c r="C154">
        <v>196310.39999999999</v>
      </c>
      <c r="D154">
        <v>45302.400000000023</v>
      </c>
      <c r="E154">
        <v>8124480</v>
      </c>
      <c r="F154">
        <v>248684.79999999981</v>
      </c>
      <c r="G154">
        <v>232948.44576639996</v>
      </c>
    </row>
    <row r="155" spans="1:7" x14ac:dyDescent="0.35">
      <c r="A155" s="1" t="s">
        <v>153</v>
      </c>
      <c r="B155">
        <v>89544.000000000015</v>
      </c>
      <c r="C155">
        <v>872040</v>
      </c>
      <c r="D155">
        <v>384384</v>
      </c>
      <c r="E155">
        <v>2933840</v>
      </c>
      <c r="F155">
        <v>380639.99999999994</v>
      </c>
      <c r="G155">
        <v>676720.13468800008</v>
      </c>
    </row>
    <row r="156" spans="1:7" x14ac:dyDescent="0.35">
      <c r="A156" s="1" t="s">
        <v>154</v>
      </c>
      <c r="B156">
        <v>28828.800000000003</v>
      </c>
      <c r="C156">
        <v>8652.8000000000466</v>
      </c>
      <c r="D156">
        <v>80308.799999999988</v>
      </c>
      <c r="E156">
        <v>93496</v>
      </c>
      <c r="F156">
        <v>319737.59999999998</v>
      </c>
      <c r="G156">
        <v>160814.8471904</v>
      </c>
    </row>
    <row r="157" spans="1:7" x14ac:dyDescent="0.35">
      <c r="A157" s="1" t="s">
        <v>155</v>
      </c>
      <c r="B157">
        <v>278460.00000000006</v>
      </c>
      <c r="C157">
        <v>77875.200000000012</v>
      </c>
      <c r="D157">
        <v>129729.60000000001</v>
      </c>
      <c r="E157">
        <v>3617328</v>
      </c>
      <c r="F157">
        <v>513864</v>
      </c>
      <c r="G157">
        <v>264618.3782112</v>
      </c>
    </row>
    <row r="158" spans="1:7" x14ac:dyDescent="0.35">
      <c r="A158" s="1" t="s">
        <v>156</v>
      </c>
      <c r="B158">
        <v>589680.00000000012</v>
      </c>
      <c r="C158">
        <v>340704</v>
      </c>
      <c r="D158">
        <v>804232.00000000012</v>
      </c>
      <c r="E158">
        <v>6770400</v>
      </c>
      <c r="F158">
        <v>2049111.9999999998</v>
      </c>
      <c r="G158">
        <v>342002.98599999992</v>
      </c>
    </row>
    <row r="159" spans="1:7" x14ac:dyDescent="0.35">
      <c r="A159" s="1" t="s">
        <v>157</v>
      </c>
      <c r="B159">
        <v>68140.799999999988</v>
      </c>
      <c r="C159">
        <v>453460.79999999993</v>
      </c>
      <c r="D159">
        <v>9266.4000000000233</v>
      </c>
      <c r="E159">
        <v>1238016</v>
      </c>
      <c r="F159">
        <v>494832</v>
      </c>
      <c r="G159">
        <v>105943.67284800002</v>
      </c>
    </row>
    <row r="160" spans="1:7" x14ac:dyDescent="0.35">
      <c r="A160" s="1" t="s">
        <v>158</v>
      </c>
      <c r="B160">
        <v>55036.800000000003</v>
      </c>
      <c r="C160">
        <v>275808</v>
      </c>
      <c r="D160">
        <v>272272</v>
      </c>
      <c r="E160">
        <v>2695264</v>
      </c>
      <c r="F160">
        <v>101504</v>
      </c>
      <c r="G160">
        <v>288468.57070719998</v>
      </c>
    </row>
    <row r="161" spans="1:7" x14ac:dyDescent="0.35">
      <c r="A161" s="1" t="s">
        <v>159</v>
      </c>
      <c r="B161">
        <v>44226</v>
      </c>
      <c r="C161">
        <v>817689.60000000009</v>
      </c>
      <c r="D161">
        <v>65894.400000000023</v>
      </c>
      <c r="E161">
        <v>8414640</v>
      </c>
      <c r="F161">
        <v>462477.6</v>
      </c>
      <c r="G161">
        <v>459136.71535680001</v>
      </c>
    </row>
    <row r="162" spans="1:7" x14ac:dyDescent="0.35">
      <c r="A162" s="1" t="s">
        <v>160</v>
      </c>
      <c r="B162">
        <v>12012</v>
      </c>
      <c r="C162">
        <v>170352</v>
      </c>
      <c r="D162">
        <v>281424</v>
      </c>
      <c r="E162">
        <v>815672</v>
      </c>
      <c r="F162">
        <v>257566.39999999994</v>
      </c>
      <c r="G162">
        <v>81340.093577599968</v>
      </c>
    </row>
    <row r="163" spans="1:7" x14ac:dyDescent="0.35">
      <c r="A163" s="1" t="s">
        <v>161</v>
      </c>
      <c r="B163">
        <v>48048</v>
      </c>
      <c r="C163">
        <v>68952</v>
      </c>
      <c r="D163">
        <v>104332.79999999999</v>
      </c>
      <c r="E163">
        <v>3430336</v>
      </c>
      <c r="F163">
        <v>145912</v>
      </c>
      <c r="G163">
        <v>91648.184201600001</v>
      </c>
    </row>
    <row r="164" spans="1:7" x14ac:dyDescent="0.35">
      <c r="A164" s="1" t="s">
        <v>162</v>
      </c>
      <c r="B164">
        <v>422822.40000000002</v>
      </c>
      <c r="C164">
        <v>118976</v>
      </c>
      <c r="D164">
        <v>778835.20000000019</v>
      </c>
      <c r="E164">
        <v>541632</v>
      </c>
      <c r="F164">
        <v>824720</v>
      </c>
      <c r="G164">
        <v>645681.98339840001</v>
      </c>
    </row>
    <row r="165" spans="1:7" x14ac:dyDescent="0.35">
      <c r="A165" s="1" t="s">
        <v>163</v>
      </c>
      <c r="B165">
        <v>130712.40000000002</v>
      </c>
      <c r="C165">
        <v>68140.799999999988</v>
      </c>
      <c r="D165">
        <v>221020.80000000005</v>
      </c>
      <c r="E165">
        <v>851136</v>
      </c>
      <c r="F165">
        <v>1156194</v>
      </c>
      <c r="G165">
        <v>188839.45591680001</v>
      </c>
    </row>
    <row r="166" spans="1:7" x14ac:dyDescent="0.35">
      <c r="A166" s="1" t="s">
        <v>164</v>
      </c>
      <c r="B166">
        <v>105705.60000000001</v>
      </c>
      <c r="C166">
        <v>103833.60000000001</v>
      </c>
      <c r="D166">
        <v>35006.399999999994</v>
      </c>
      <c r="E166">
        <v>61256</v>
      </c>
      <c r="F166">
        <v>66612</v>
      </c>
      <c r="G166">
        <v>40213.952334400004</v>
      </c>
    </row>
    <row r="167" spans="1:7" x14ac:dyDescent="0.35">
      <c r="A167" s="1" t="s">
        <v>165</v>
      </c>
      <c r="B167">
        <v>29047.199999999997</v>
      </c>
      <c r="C167">
        <v>98155.199999999997</v>
      </c>
      <c r="D167">
        <v>113256.00000000003</v>
      </c>
      <c r="E167">
        <v>167648</v>
      </c>
      <c r="F167">
        <v>174777.19999999998</v>
      </c>
      <c r="G167">
        <v>69510.26754880001</v>
      </c>
    </row>
    <row r="168" spans="1:7" x14ac:dyDescent="0.35">
      <c r="A168" s="1" t="s">
        <v>166</v>
      </c>
      <c r="B168">
        <v>53726.400000000001</v>
      </c>
      <c r="C168">
        <v>16224</v>
      </c>
      <c r="D168">
        <v>59488</v>
      </c>
      <c r="E168">
        <v>894660</v>
      </c>
      <c r="F168">
        <v>111654.39999999999</v>
      </c>
      <c r="G168">
        <v>54265.895070400002</v>
      </c>
    </row>
    <row r="169" spans="1:7" x14ac:dyDescent="0.35">
      <c r="A169" s="1" t="s">
        <v>167</v>
      </c>
      <c r="B169">
        <v>18345.599999999999</v>
      </c>
      <c r="C169">
        <v>50564.800000000003</v>
      </c>
      <c r="D169">
        <v>18304</v>
      </c>
      <c r="E169">
        <v>1454024</v>
      </c>
      <c r="F169">
        <v>114192</v>
      </c>
      <c r="G169">
        <v>89832.002124799998</v>
      </c>
    </row>
    <row r="170" spans="1:7" x14ac:dyDescent="0.35">
      <c r="A170" s="1" t="s">
        <v>168</v>
      </c>
      <c r="B170">
        <v>39312</v>
      </c>
      <c r="C170">
        <v>41100.799999999996</v>
      </c>
      <c r="D170">
        <v>12812.800000000001</v>
      </c>
      <c r="E170">
        <v>354640</v>
      </c>
      <c r="F170">
        <v>239803.19999999998</v>
      </c>
      <c r="G170">
        <v>117054.6885248</v>
      </c>
    </row>
    <row r="171" spans="1:7" x14ac:dyDescent="0.35">
      <c r="A171" s="1" t="s">
        <v>169</v>
      </c>
      <c r="B171">
        <v>461260.80000000005</v>
      </c>
      <c r="C171">
        <v>356928</v>
      </c>
      <c r="D171">
        <v>104332.80000000002</v>
      </c>
      <c r="E171">
        <v>677040</v>
      </c>
      <c r="F171">
        <v>852633.59999999986</v>
      </c>
      <c r="G171">
        <v>233112.89264640003</v>
      </c>
    </row>
    <row r="172" spans="1:7" x14ac:dyDescent="0.35">
      <c r="A172" s="1" t="s">
        <v>170</v>
      </c>
      <c r="B172">
        <v>317116.80000000005</v>
      </c>
      <c r="C172">
        <v>759283.20000000007</v>
      </c>
      <c r="D172">
        <v>41184</v>
      </c>
      <c r="E172">
        <v>1624896</v>
      </c>
      <c r="F172">
        <v>593798.39999999991</v>
      </c>
      <c r="G172">
        <v>454585.61054399994</v>
      </c>
    </row>
    <row r="173" spans="1:7" x14ac:dyDescent="0.35">
      <c r="A173" s="1" t="s">
        <v>171</v>
      </c>
      <c r="B173">
        <v>29811.599999999977</v>
      </c>
      <c r="C173">
        <v>35692.800000000047</v>
      </c>
      <c r="D173">
        <v>17846.400000000001</v>
      </c>
      <c r="E173">
        <v>1163864</v>
      </c>
      <c r="F173">
        <v>26962</v>
      </c>
      <c r="G173">
        <v>54940.401068800013</v>
      </c>
    </row>
    <row r="174" spans="1:7" x14ac:dyDescent="0.35">
      <c r="A174" s="1" t="s">
        <v>172</v>
      </c>
      <c r="B174">
        <v>728364.00000000012</v>
      </c>
      <c r="C174">
        <v>89232</v>
      </c>
      <c r="D174">
        <v>56056</v>
      </c>
      <c r="E174">
        <v>644800</v>
      </c>
      <c r="F174">
        <v>735904</v>
      </c>
      <c r="G174">
        <v>614477.54243200005</v>
      </c>
    </row>
    <row r="175" spans="1:7" x14ac:dyDescent="0.35">
      <c r="A175" s="1" t="s">
        <v>173</v>
      </c>
      <c r="B175">
        <v>122522.40000000002</v>
      </c>
      <c r="C175">
        <v>82742.400000000009</v>
      </c>
      <c r="D175">
        <v>47819.200000000004</v>
      </c>
      <c r="E175">
        <v>1354080</v>
      </c>
      <c r="F175">
        <v>142105.59999999998</v>
      </c>
      <c r="G175">
        <v>107154.2896736</v>
      </c>
    </row>
    <row r="176" spans="1:7" x14ac:dyDescent="0.35">
      <c r="A176" s="1" t="s">
        <v>174</v>
      </c>
      <c r="B176">
        <v>114660</v>
      </c>
      <c r="C176">
        <v>395595.2</v>
      </c>
      <c r="D176">
        <v>266666.40000000002</v>
      </c>
      <c r="E176">
        <v>6488300</v>
      </c>
      <c r="F176">
        <v>310856</v>
      </c>
      <c r="G176">
        <v>207021.10985919999</v>
      </c>
    </row>
    <row r="177" spans="1:7" x14ac:dyDescent="0.35">
      <c r="A177" s="1" t="s">
        <v>175</v>
      </c>
      <c r="B177">
        <v>105705.60000000001</v>
      </c>
      <c r="C177">
        <v>97344</v>
      </c>
      <c r="D177">
        <v>139110.40000000002</v>
      </c>
      <c r="E177">
        <v>283712</v>
      </c>
      <c r="F177">
        <v>588723.19999999995</v>
      </c>
      <c r="G177">
        <v>176271.57907840001</v>
      </c>
    </row>
    <row r="178" spans="1:7" x14ac:dyDescent="0.35">
      <c r="A178" s="1" t="s">
        <v>176</v>
      </c>
      <c r="B178">
        <v>78624</v>
      </c>
      <c r="C178">
        <v>77875.200000000012</v>
      </c>
      <c r="D178">
        <v>123552</v>
      </c>
      <c r="E178">
        <v>3394872</v>
      </c>
      <c r="F178">
        <v>883084.79999999993</v>
      </c>
      <c r="G178">
        <v>325787.28000000003</v>
      </c>
    </row>
    <row r="179" spans="1:7" x14ac:dyDescent="0.35">
      <c r="A179" s="1" t="s">
        <v>177</v>
      </c>
      <c r="B179">
        <v>622440</v>
      </c>
      <c r="C179">
        <v>1046447.9999999998</v>
      </c>
      <c r="D179">
        <v>184184</v>
      </c>
      <c r="E179">
        <v>3481920</v>
      </c>
      <c r="F179">
        <v>222040</v>
      </c>
      <c r="G179">
        <v>462251.36214400001</v>
      </c>
    </row>
    <row r="180" spans="1:7" x14ac:dyDescent="0.35">
      <c r="A180" s="1" t="s">
        <v>178</v>
      </c>
      <c r="B180">
        <v>807206.40000000014</v>
      </c>
      <c r="C180">
        <v>179816</v>
      </c>
      <c r="D180">
        <v>563763.20000000007</v>
      </c>
      <c r="E180">
        <v>10426416</v>
      </c>
      <c r="F180">
        <v>146546.39999999997</v>
      </c>
      <c r="G180">
        <v>203011.0727008</v>
      </c>
    </row>
    <row r="181" spans="1:7" x14ac:dyDescent="0.35">
      <c r="A181" s="1" t="s">
        <v>179</v>
      </c>
      <c r="B181">
        <v>95004</v>
      </c>
      <c r="C181">
        <v>46644</v>
      </c>
      <c r="D181">
        <v>32604</v>
      </c>
      <c r="E181">
        <v>1247688</v>
      </c>
      <c r="F181">
        <v>46628.399999999994</v>
      </c>
      <c r="G181">
        <v>33165.598273600015</v>
      </c>
    </row>
    <row r="182" spans="1:7" x14ac:dyDescent="0.35">
      <c r="A182" s="1" t="s">
        <v>180</v>
      </c>
      <c r="B182">
        <v>345945.60000000003</v>
      </c>
      <c r="C182">
        <v>365040</v>
      </c>
      <c r="D182">
        <v>145974.40000000002</v>
      </c>
      <c r="E182">
        <v>116064</v>
      </c>
      <c r="F182">
        <v>63440</v>
      </c>
      <c r="G182">
        <v>261640.97664640006</v>
      </c>
    </row>
    <row r="183" spans="1:7" x14ac:dyDescent="0.35">
      <c r="A183" s="1" t="s">
        <v>181</v>
      </c>
      <c r="B183">
        <v>408844.80000000005</v>
      </c>
      <c r="C183">
        <v>1151092.8</v>
      </c>
      <c r="D183">
        <v>555984</v>
      </c>
      <c r="E183">
        <v>5513040</v>
      </c>
      <c r="F183">
        <v>2055456</v>
      </c>
      <c r="G183">
        <v>492323.7305376</v>
      </c>
    </row>
    <row r="184" spans="1:7" x14ac:dyDescent="0.35">
      <c r="A184" s="1" t="s">
        <v>182</v>
      </c>
      <c r="B184">
        <v>285012</v>
      </c>
      <c r="C184">
        <v>207667.19999999995</v>
      </c>
      <c r="D184">
        <v>181209.59999999998</v>
      </c>
      <c r="E184">
        <v>10561824</v>
      </c>
      <c r="F184">
        <v>1591075.1999999997</v>
      </c>
      <c r="G184">
        <v>242206.29738240002</v>
      </c>
    </row>
    <row r="185" spans="1:7" x14ac:dyDescent="0.35">
      <c r="A185" s="1" t="s">
        <v>183</v>
      </c>
      <c r="B185">
        <v>151351.19999999998</v>
      </c>
      <c r="C185">
        <v>959649.60000000009</v>
      </c>
      <c r="D185">
        <v>112112</v>
      </c>
      <c r="E185">
        <v>13202280</v>
      </c>
      <c r="F185">
        <v>301974.39999999991</v>
      </c>
      <c r="G185">
        <v>425405.400784</v>
      </c>
    </row>
    <row r="186" spans="1:7" x14ac:dyDescent="0.35">
      <c r="A186" s="1" t="s">
        <v>184</v>
      </c>
      <c r="B186">
        <v>44226</v>
      </c>
      <c r="C186">
        <v>169000</v>
      </c>
      <c r="D186">
        <v>16016</v>
      </c>
      <c r="E186">
        <v>725400</v>
      </c>
      <c r="F186">
        <v>942084</v>
      </c>
      <c r="G186">
        <v>326055.89182399999</v>
      </c>
    </row>
    <row r="187" spans="1:7" x14ac:dyDescent="0.35">
      <c r="A187" s="1" t="s">
        <v>185</v>
      </c>
      <c r="B187">
        <v>39312</v>
      </c>
      <c r="C187">
        <v>56784</v>
      </c>
      <c r="D187">
        <v>36608</v>
      </c>
      <c r="E187">
        <v>257920</v>
      </c>
      <c r="F187">
        <v>247416</v>
      </c>
      <c r="G187">
        <v>151607.37725120003</v>
      </c>
    </row>
    <row r="188" spans="1:7" x14ac:dyDescent="0.35">
      <c r="A188" s="1" t="s">
        <v>186</v>
      </c>
      <c r="B188">
        <v>104832</v>
      </c>
      <c r="C188">
        <v>214156.79999999999</v>
      </c>
      <c r="D188">
        <v>52852.800000000003</v>
      </c>
      <c r="E188">
        <v>609336</v>
      </c>
      <c r="F188">
        <v>314027.99999999994</v>
      </c>
      <c r="G188">
        <v>105120.57541439999</v>
      </c>
    </row>
    <row r="189" spans="1:7" x14ac:dyDescent="0.35">
      <c r="A189" s="1" t="s">
        <v>187</v>
      </c>
      <c r="B189">
        <v>134316</v>
      </c>
      <c r="C189">
        <v>932880.00000000023</v>
      </c>
      <c r="D189">
        <v>1269840</v>
      </c>
      <c r="E189">
        <v>8898240</v>
      </c>
      <c r="F189">
        <v>634400</v>
      </c>
      <c r="G189">
        <v>640546.59260800004</v>
      </c>
    </row>
    <row r="190" spans="1:7" x14ac:dyDescent="0.35">
      <c r="A190" s="1" t="s">
        <v>188</v>
      </c>
      <c r="B190">
        <v>26208</v>
      </c>
      <c r="C190">
        <v>5678.4000000000233</v>
      </c>
      <c r="D190">
        <v>7779.1999999999534</v>
      </c>
      <c r="E190">
        <v>130572</v>
      </c>
      <c r="F190">
        <v>150035.59999999998</v>
      </c>
      <c r="G190">
        <v>44173.204441600014</v>
      </c>
    </row>
    <row r="191" spans="1:7" x14ac:dyDescent="0.35">
      <c r="A191" s="1" t="s">
        <v>189</v>
      </c>
      <c r="B191">
        <v>31231.200000000001</v>
      </c>
      <c r="C191">
        <v>9734.4000000000015</v>
      </c>
      <c r="D191">
        <v>5148</v>
      </c>
      <c r="E191">
        <v>9672</v>
      </c>
      <c r="F191">
        <v>58364.799999999988</v>
      </c>
      <c r="G191">
        <v>37739.739731199996</v>
      </c>
    </row>
    <row r="192" spans="1:7" x14ac:dyDescent="0.35">
      <c r="A192" s="1" t="s">
        <v>190</v>
      </c>
      <c r="B192">
        <v>106142.40000000001</v>
      </c>
      <c r="C192">
        <v>10816</v>
      </c>
      <c r="D192">
        <v>13156</v>
      </c>
      <c r="E192">
        <v>43524</v>
      </c>
      <c r="F192">
        <v>33306</v>
      </c>
      <c r="G192">
        <v>50146.738532800002</v>
      </c>
    </row>
    <row r="193" spans="1:7" x14ac:dyDescent="0.35">
      <c r="A193" s="1" t="s">
        <v>191</v>
      </c>
      <c r="B193">
        <v>165765.59999999998</v>
      </c>
      <c r="C193">
        <v>19468.800000000003</v>
      </c>
      <c r="D193">
        <v>59716.800000000003</v>
      </c>
      <c r="E193">
        <v>2908048</v>
      </c>
      <c r="F193">
        <v>106579.2</v>
      </c>
      <c r="G193">
        <v>58446.845849600002</v>
      </c>
    </row>
    <row r="194" spans="1:7" x14ac:dyDescent="0.35">
      <c r="A194" s="1" t="s">
        <v>192</v>
      </c>
      <c r="B194">
        <v>545017.20000000007</v>
      </c>
      <c r="C194">
        <v>482664</v>
      </c>
      <c r="D194">
        <v>27227.200000000004</v>
      </c>
      <c r="E194">
        <v>7007364</v>
      </c>
      <c r="F194">
        <v>994739.19999999984</v>
      </c>
      <c r="G194">
        <v>274444.64582079998</v>
      </c>
    </row>
    <row r="195" spans="1:7" x14ac:dyDescent="0.35">
      <c r="A195" s="1" t="s">
        <v>193</v>
      </c>
      <c r="B195">
        <v>522849.60000000003</v>
      </c>
      <c r="C195">
        <v>1423656</v>
      </c>
      <c r="D195">
        <v>679536.00000000012</v>
      </c>
      <c r="E195">
        <v>2553408</v>
      </c>
      <c r="F195">
        <v>890697.6</v>
      </c>
      <c r="G195">
        <v>720306.70732800011</v>
      </c>
    </row>
    <row r="196" spans="1:7" x14ac:dyDescent="0.35">
      <c r="A196" s="1" t="s">
        <v>194</v>
      </c>
      <c r="B196">
        <v>11793.599999999977</v>
      </c>
      <c r="C196">
        <v>102211.19999999995</v>
      </c>
      <c r="D196">
        <v>262662.39999999997</v>
      </c>
      <c r="E196">
        <v>1805440</v>
      </c>
      <c r="F196">
        <v>1507334.4</v>
      </c>
      <c r="G196">
        <v>262380.35474560002</v>
      </c>
    </row>
    <row r="197" spans="1:7" x14ac:dyDescent="0.35">
      <c r="A197" s="1" t="s">
        <v>195</v>
      </c>
      <c r="B197">
        <v>36691.200000000004</v>
      </c>
      <c r="C197">
        <v>213751.2</v>
      </c>
      <c r="D197">
        <v>418017.60000000003</v>
      </c>
      <c r="E197">
        <v>701220</v>
      </c>
      <c r="F197">
        <v>524331.6</v>
      </c>
      <c r="G197">
        <v>101233.36367039999</v>
      </c>
    </row>
    <row r="198" spans="1:7" x14ac:dyDescent="0.35">
      <c r="A198" s="1" t="s">
        <v>196</v>
      </c>
      <c r="B198">
        <v>253344</v>
      </c>
      <c r="C198">
        <v>584064</v>
      </c>
      <c r="D198">
        <v>28600</v>
      </c>
      <c r="E198">
        <v>2385760</v>
      </c>
      <c r="F198">
        <v>380640</v>
      </c>
      <c r="G198">
        <v>306882.14928799996</v>
      </c>
    </row>
    <row r="199" spans="1:7" x14ac:dyDescent="0.35">
      <c r="A199" s="1" t="s">
        <v>197</v>
      </c>
      <c r="B199">
        <v>172645.2</v>
      </c>
      <c r="C199">
        <v>335836.80000000005</v>
      </c>
      <c r="D199">
        <v>30201.600000000002</v>
      </c>
      <c r="E199">
        <v>130572</v>
      </c>
      <c r="F199">
        <v>800295.59999999986</v>
      </c>
      <c r="G199">
        <v>112880.06146559998</v>
      </c>
    </row>
    <row r="200" spans="1:7" x14ac:dyDescent="0.35">
      <c r="A200" s="1" t="s">
        <v>198</v>
      </c>
      <c r="B200">
        <v>103194</v>
      </c>
      <c r="C200">
        <v>749548.8</v>
      </c>
      <c r="D200">
        <v>111196.8</v>
      </c>
      <c r="E200">
        <v>3656016</v>
      </c>
      <c r="F200">
        <v>519573.6</v>
      </c>
      <c r="G200">
        <v>745877.17470240011</v>
      </c>
    </row>
    <row r="201" spans="1:7" x14ac:dyDescent="0.35">
      <c r="A201" s="1" t="s">
        <v>199</v>
      </c>
      <c r="B201">
        <v>10483.199999999997</v>
      </c>
      <c r="C201">
        <v>98020</v>
      </c>
      <c r="D201">
        <v>55026.400000000001</v>
      </c>
      <c r="E201">
        <v>677040</v>
      </c>
      <c r="F201">
        <v>245830</v>
      </c>
      <c r="G201">
        <v>78270.144471999956</v>
      </c>
    </row>
    <row r="202" spans="1:7" x14ac:dyDescent="0.35">
      <c r="A202" s="1" t="s">
        <v>200</v>
      </c>
      <c r="B202">
        <v>428064</v>
      </c>
      <c r="C202">
        <v>357739.2</v>
      </c>
      <c r="D202">
        <v>209008.80000000002</v>
      </c>
      <c r="E202">
        <v>3385200</v>
      </c>
      <c r="F202">
        <v>97697.599999999977</v>
      </c>
      <c r="G202">
        <v>217650.34607679999</v>
      </c>
    </row>
    <row r="203" spans="1:7" x14ac:dyDescent="0.35">
      <c r="A203" s="1" t="s">
        <v>201</v>
      </c>
      <c r="B203">
        <v>162489.59999999998</v>
      </c>
      <c r="C203">
        <v>92476.799999999988</v>
      </c>
      <c r="D203">
        <v>94723.200000000012</v>
      </c>
      <c r="E203">
        <v>6896136</v>
      </c>
      <c r="F203">
        <v>1882264.8000000003</v>
      </c>
      <c r="G203">
        <v>446249.0602752</v>
      </c>
    </row>
    <row r="204" spans="1:7" x14ac:dyDescent="0.35">
      <c r="A204" s="1" t="s">
        <v>202</v>
      </c>
      <c r="B204">
        <v>145236</v>
      </c>
      <c r="C204">
        <v>431558.39999999997</v>
      </c>
      <c r="D204">
        <v>129729.60000000002</v>
      </c>
      <c r="E204">
        <v>2493764</v>
      </c>
      <c r="F204">
        <v>73273.199999999953</v>
      </c>
      <c r="G204">
        <v>254372.62701760003</v>
      </c>
    </row>
    <row r="205" spans="1:7" x14ac:dyDescent="0.35">
      <c r="A205" s="1" t="s">
        <v>203</v>
      </c>
      <c r="B205">
        <v>57002.399999999994</v>
      </c>
      <c r="C205">
        <v>221457.59999999998</v>
      </c>
      <c r="D205">
        <v>568339.20000000007</v>
      </c>
      <c r="E205">
        <v>2553408</v>
      </c>
      <c r="F205">
        <v>570960</v>
      </c>
      <c r="G205">
        <v>267183.16691039997</v>
      </c>
    </row>
    <row r="206" spans="1:7" x14ac:dyDescent="0.35">
      <c r="A206" s="1" t="s">
        <v>204</v>
      </c>
      <c r="B206">
        <v>125580</v>
      </c>
      <c r="C206">
        <v>321776</v>
      </c>
      <c r="D206">
        <v>704704.00000000012</v>
      </c>
      <c r="E206">
        <v>3224000</v>
      </c>
      <c r="F206">
        <v>1287831.9999999998</v>
      </c>
      <c r="G206">
        <v>211567.44845600001</v>
      </c>
    </row>
    <row r="207" spans="1:7" x14ac:dyDescent="0.35">
      <c r="A207" s="1" t="s">
        <v>205</v>
      </c>
      <c r="B207">
        <v>192628.80000000002</v>
      </c>
      <c r="C207">
        <v>553644</v>
      </c>
      <c r="D207">
        <v>336336.00000000006</v>
      </c>
      <c r="E207">
        <v>7007364</v>
      </c>
      <c r="F207">
        <v>119901.60000000009</v>
      </c>
      <c r="G207">
        <v>180921.4231552</v>
      </c>
    </row>
    <row r="208" spans="1:7" x14ac:dyDescent="0.35">
      <c r="A208" s="1" t="s">
        <v>206</v>
      </c>
      <c r="B208">
        <v>209664</v>
      </c>
      <c r="C208">
        <v>223080</v>
      </c>
      <c r="D208">
        <v>1153152</v>
      </c>
      <c r="E208">
        <v>8704800</v>
      </c>
      <c r="F208">
        <v>152256</v>
      </c>
      <c r="G208">
        <v>282426.52484799997</v>
      </c>
    </row>
    <row r="209" spans="1:7" x14ac:dyDescent="0.35">
      <c r="A209" s="1" t="s">
        <v>207</v>
      </c>
      <c r="B209">
        <v>262080</v>
      </c>
      <c r="C209">
        <v>720345.60000000009</v>
      </c>
      <c r="D209">
        <v>137280</v>
      </c>
      <c r="E209">
        <v>6499584</v>
      </c>
      <c r="F209">
        <v>325447.19999999995</v>
      </c>
      <c r="G209">
        <v>483712.55350080004</v>
      </c>
    </row>
    <row r="210" spans="1:7" x14ac:dyDescent="0.35">
      <c r="A210" s="1" t="s">
        <v>208</v>
      </c>
      <c r="B210">
        <v>40840.799999999988</v>
      </c>
      <c r="C210">
        <v>141960</v>
      </c>
      <c r="D210">
        <v>166795.20000000001</v>
      </c>
      <c r="E210">
        <v>693160</v>
      </c>
      <c r="F210">
        <v>125611.20000000001</v>
      </c>
      <c r="G210">
        <v>55192.205868799996</v>
      </c>
    </row>
    <row r="211" spans="1:7" x14ac:dyDescent="0.35">
      <c r="A211" s="1" t="s">
        <v>209</v>
      </c>
      <c r="B211">
        <v>181708.80000000002</v>
      </c>
      <c r="C211">
        <v>18387.199999999997</v>
      </c>
      <c r="D211">
        <v>208665.60000000001</v>
      </c>
      <c r="E211">
        <v>3797872</v>
      </c>
      <c r="F211">
        <v>1484496</v>
      </c>
      <c r="G211">
        <v>239808.30340480001</v>
      </c>
    </row>
    <row r="212" spans="1:7" x14ac:dyDescent="0.35">
      <c r="A212" s="1" t="s">
        <v>210</v>
      </c>
      <c r="B212">
        <v>655855.20000000007</v>
      </c>
      <c r="C212">
        <v>821475.20000000007</v>
      </c>
      <c r="D212">
        <v>634233.59999999998</v>
      </c>
      <c r="E212">
        <v>3046680</v>
      </c>
      <c r="F212">
        <v>202056.39999999991</v>
      </c>
      <c r="G212">
        <v>187764.87271359999</v>
      </c>
    </row>
    <row r="213" spans="1:7" x14ac:dyDescent="0.35">
      <c r="A213" s="1" t="s">
        <v>211</v>
      </c>
      <c r="B213">
        <v>128419.20000000007</v>
      </c>
      <c r="C213">
        <v>77875.20000000007</v>
      </c>
      <c r="D213">
        <v>104332.80000000005</v>
      </c>
      <c r="E213">
        <v>464256</v>
      </c>
      <c r="F213">
        <v>247416</v>
      </c>
      <c r="G213">
        <v>250042.29852160002</v>
      </c>
    </row>
    <row r="214" spans="1:7" x14ac:dyDescent="0.35">
      <c r="A214" s="1" t="s">
        <v>212</v>
      </c>
      <c r="B214">
        <v>48921.600000000006</v>
      </c>
      <c r="C214">
        <v>207667.20000000001</v>
      </c>
      <c r="D214">
        <v>314828.80000000005</v>
      </c>
      <c r="E214">
        <v>6615648</v>
      </c>
      <c r="F214">
        <v>532896</v>
      </c>
      <c r="G214">
        <v>470854.02191360004</v>
      </c>
    </row>
    <row r="215" spans="1:7" x14ac:dyDescent="0.35">
      <c r="A215" s="1" t="s">
        <v>213</v>
      </c>
      <c r="B215">
        <v>65301.600000000006</v>
      </c>
      <c r="C215">
        <v>81120.000000000015</v>
      </c>
      <c r="D215">
        <v>28828.799999999988</v>
      </c>
      <c r="E215">
        <v>119288</v>
      </c>
      <c r="F215">
        <v>39650</v>
      </c>
      <c r="G215">
        <v>43277.294195200026</v>
      </c>
    </row>
    <row r="216" spans="1:7" x14ac:dyDescent="0.35">
      <c r="A216" s="1" t="s">
        <v>214</v>
      </c>
      <c r="B216">
        <v>127764.00000000001</v>
      </c>
      <c r="C216">
        <v>321776</v>
      </c>
      <c r="D216">
        <v>64064.000000000007</v>
      </c>
      <c r="E216">
        <v>789880</v>
      </c>
      <c r="F216">
        <v>1903200</v>
      </c>
      <c r="G216">
        <v>797048.54631999996</v>
      </c>
    </row>
    <row r="217" spans="1:7" x14ac:dyDescent="0.35">
      <c r="A217" s="1" t="s">
        <v>215</v>
      </c>
      <c r="B217">
        <v>64209.600000000006</v>
      </c>
      <c r="C217">
        <v>9464</v>
      </c>
      <c r="D217">
        <v>562962.40000000014</v>
      </c>
      <c r="E217">
        <v>5946668</v>
      </c>
      <c r="F217">
        <v>2673361.6000000006</v>
      </c>
      <c r="G217">
        <v>378876.60516159999</v>
      </c>
    </row>
    <row r="218" spans="1:7" x14ac:dyDescent="0.35">
      <c r="A218" s="1" t="s">
        <v>216</v>
      </c>
      <c r="B218">
        <v>39312</v>
      </c>
      <c r="C218">
        <v>84364.800000000003</v>
      </c>
      <c r="D218">
        <v>521664.00000000012</v>
      </c>
      <c r="E218">
        <v>464256</v>
      </c>
      <c r="F218">
        <v>233459.20000000019</v>
      </c>
      <c r="G218">
        <v>398406.40736000001</v>
      </c>
    </row>
    <row r="219" spans="1:7" x14ac:dyDescent="0.35">
      <c r="A219" s="1" t="s">
        <v>217</v>
      </c>
      <c r="B219">
        <v>14742</v>
      </c>
      <c r="C219">
        <v>60840</v>
      </c>
      <c r="D219">
        <v>5491.2000000000116</v>
      </c>
      <c r="E219">
        <v>831792</v>
      </c>
      <c r="F219">
        <v>171288</v>
      </c>
      <c r="G219">
        <v>34499.216689599969</v>
      </c>
    </row>
    <row r="220" spans="1:7" x14ac:dyDescent="0.35">
      <c r="A220" s="1" t="s">
        <v>218</v>
      </c>
      <c r="B220">
        <v>255528</v>
      </c>
      <c r="C220">
        <v>25958.400000000001</v>
      </c>
      <c r="D220">
        <v>8008</v>
      </c>
      <c r="E220">
        <v>1096160</v>
      </c>
      <c r="F220">
        <v>639475.20000000007</v>
      </c>
      <c r="G220">
        <v>159314.21529919998</v>
      </c>
    </row>
    <row r="221" spans="1:7" x14ac:dyDescent="0.35">
      <c r="A221" s="1" t="s">
        <v>219</v>
      </c>
      <c r="B221">
        <v>525252</v>
      </c>
      <c r="C221">
        <v>627328</v>
      </c>
      <c r="D221">
        <v>236808.00000000003</v>
      </c>
      <c r="E221">
        <v>725400</v>
      </c>
      <c r="F221">
        <v>1522560</v>
      </c>
      <c r="G221">
        <v>591166.26275200001</v>
      </c>
    </row>
    <row r="222" spans="1:7" x14ac:dyDescent="0.35">
      <c r="A222" s="1" t="s">
        <v>220</v>
      </c>
      <c r="B222">
        <v>174720</v>
      </c>
      <c r="C222">
        <v>146016</v>
      </c>
      <c r="D222">
        <v>15558.399999999994</v>
      </c>
      <c r="E222">
        <v>851136</v>
      </c>
      <c r="F222">
        <v>817107.2</v>
      </c>
      <c r="G222">
        <v>208097.23292800004</v>
      </c>
    </row>
    <row r="223" spans="1:7" x14ac:dyDescent="0.35">
      <c r="A223" s="1" t="s">
        <v>221</v>
      </c>
      <c r="B223">
        <v>33196.799999999988</v>
      </c>
      <c r="C223">
        <v>118976</v>
      </c>
      <c r="D223">
        <v>211411.20000000001</v>
      </c>
      <c r="E223">
        <v>7041216</v>
      </c>
      <c r="F223">
        <v>478337.6</v>
      </c>
      <c r="G223">
        <v>274648.32853120001</v>
      </c>
    </row>
    <row r="224" spans="1:7" x14ac:dyDescent="0.35">
      <c r="A224" s="1" t="s">
        <v>222</v>
      </c>
      <c r="B224">
        <v>75675.600000000006</v>
      </c>
      <c r="C224">
        <v>1392019.2000000002</v>
      </c>
      <c r="D224">
        <v>41184</v>
      </c>
      <c r="E224">
        <v>4178304</v>
      </c>
      <c r="F224">
        <v>1164758.3999999999</v>
      </c>
      <c r="G224">
        <v>627373.27355040004</v>
      </c>
    </row>
    <row r="225" spans="1:7" x14ac:dyDescent="0.35">
      <c r="A225" s="1" t="s">
        <v>223</v>
      </c>
      <c r="B225">
        <v>13977.599999999999</v>
      </c>
      <c r="C225">
        <v>178464</v>
      </c>
      <c r="D225">
        <v>517545.60000000003</v>
      </c>
      <c r="E225">
        <v>4539392</v>
      </c>
      <c r="F225">
        <v>1253574.3999999999</v>
      </c>
      <c r="G225">
        <v>133298.2201408</v>
      </c>
    </row>
    <row r="226" spans="1:7" x14ac:dyDescent="0.35">
      <c r="A226" s="1" t="s">
        <v>224</v>
      </c>
      <c r="B226">
        <v>93693.6</v>
      </c>
      <c r="C226">
        <v>129792</v>
      </c>
      <c r="D226">
        <v>34320</v>
      </c>
      <c r="E226">
        <v>188604</v>
      </c>
      <c r="F226">
        <v>210303.59999999998</v>
      </c>
      <c r="G226">
        <v>53434.218760000003</v>
      </c>
    </row>
    <row r="227" spans="1:7" x14ac:dyDescent="0.35">
      <c r="A227" s="1" t="s">
        <v>225</v>
      </c>
      <c r="B227">
        <v>403603.19999999995</v>
      </c>
      <c r="C227">
        <v>363417.60000000003</v>
      </c>
      <c r="D227">
        <v>329472</v>
      </c>
      <c r="E227">
        <v>2617888</v>
      </c>
      <c r="F227">
        <v>1141920</v>
      </c>
      <c r="G227">
        <v>322454.30746879999</v>
      </c>
    </row>
    <row r="228" spans="1:7" x14ac:dyDescent="0.35">
      <c r="A228" s="1" t="s">
        <v>226</v>
      </c>
      <c r="B228">
        <v>244171.19999999998</v>
      </c>
      <c r="C228">
        <v>32448</v>
      </c>
      <c r="D228">
        <v>197683.20000000001</v>
      </c>
      <c r="E228">
        <v>4333056</v>
      </c>
      <c r="F228">
        <v>331156.80000000005</v>
      </c>
      <c r="G228">
        <v>211127.89384960002</v>
      </c>
    </row>
    <row r="229" spans="1:7" x14ac:dyDescent="0.35">
      <c r="A229" s="1" t="s">
        <v>227</v>
      </c>
      <c r="B229">
        <v>537264.00000000012</v>
      </c>
      <c r="C229">
        <v>204422.40000000002</v>
      </c>
      <c r="D229">
        <v>644300.80000000005</v>
      </c>
      <c r="E229">
        <v>7582848</v>
      </c>
      <c r="F229">
        <v>1913350.4</v>
      </c>
      <c r="G229">
        <v>291946.59203840001</v>
      </c>
    </row>
    <row r="230" spans="1:7" x14ac:dyDescent="0.35">
      <c r="A230" s="1" t="s">
        <v>228</v>
      </c>
      <c r="B230">
        <v>153316.80000000005</v>
      </c>
      <c r="C230">
        <v>442915.2</v>
      </c>
      <c r="D230">
        <v>988416</v>
      </c>
      <c r="E230">
        <v>4062240</v>
      </c>
      <c r="F230">
        <v>579524.39999999991</v>
      </c>
      <c r="G230">
        <v>440316.95292000001</v>
      </c>
    </row>
    <row r="231" spans="1:7" x14ac:dyDescent="0.35">
      <c r="A231" s="1" t="s">
        <v>229</v>
      </c>
      <c r="B231">
        <v>22932</v>
      </c>
      <c r="C231">
        <v>624624</v>
      </c>
      <c r="D231">
        <v>274560</v>
      </c>
      <c r="E231">
        <v>2482480</v>
      </c>
      <c r="F231">
        <v>199836</v>
      </c>
      <c r="G231">
        <v>109307.93494400004</v>
      </c>
    </row>
    <row r="232" spans="1:7" x14ac:dyDescent="0.35">
      <c r="A232" s="1" t="s">
        <v>230</v>
      </c>
      <c r="B232">
        <v>182582.39999999999</v>
      </c>
      <c r="C232">
        <v>830668.80000000005</v>
      </c>
      <c r="D232">
        <v>366080.00000000006</v>
      </c>
      <c r="E232">
        <v>12070656</v>
      </c>
      <c r="F232">
        <v>456767.99999999988</v>
      </c>
      <c r="G232">
        <v>488870.03160320001</v>
      </c>
    </row>
    <row r="233" spans="1:7" x14ac:dyDescent="0.35">
      <c r="A233" s="1" t="s">
        <v>231</v>
      </c>
      <c r="B233">
        <v>382200</v>
      </c>
      <c r="C233">
        <v>243360</v>
      </c>
      <c r="D233">
        <v>401544</v>
      </c>
      <c r="E233">
        <v>6077240</v>
      </c>
      <c r="F233">
        <v>750178</v>
      </c>
      <c r="G233">
        <v>194183.13917600003</v>
      </c>
    </row>
    <row r="234" spans="1:7" x14ac:dyDescent="0.35">
      <c r="A234" s="1" t="s">
        <v>232</v>
      </c>
      <c r="B234">
        <v>206388</v>
      </c>
      <c r="C234">
        <v>253094.40000000002</v>
      </c>
      <c r="D234">
        <v>667180.80000000005</v>
      </c>
      <c r="E234">
        <v>12476880</v>
      </c>
      <c r="F234">
        <v>719409.6</v>
      </c>
      <c r="G234">
        <v>413469.57394080004</v>
      </c>
    </row>
    <row r="235" spans="1:7" x14ac:dyDescent="0.35">
      <c r="A235" s="1" t="s">
        <v>233</v>
      </c>
      <c r="B235">
        <v>266011.2</v>
      </c>
      <c r="C235">
        <v>32448</v>
      </c>
      <c r="D235">
        <v>120806.40000000002</v>
      </c>
      <c r="E235">
        <v>677040</v>
      </c>
      <c r="F235">
        <v>321640.8</v>
      </c>
      <c r="G235">
        <v>129143.8379712</v>
      </c>
    </row>
    <row r="236" spans="1:7" x14ac:dyDescent="0.35">
      <c r="A236" s="1" t="s">
        <v>234</v>
      </c>
      <c r="B236">
        <v>206388</v>
      </c>
      <c r="C236">
        <v>936936</v>
      </c>
      <c r="D236">
        <v>193793.60000000003</v>
      </c>
      <c r="E236">
        <v>3272360</v>
      </c>
      <c r="F236">
        <v>1429937.5999999999</v>
      </c>
      <c r="G236">
        <v>494023.60483839997</v>
      </c>
    </row>
    <row r="237" spans="1:7" x14ac:dyDescent="0.35">
      <c r="A237" s="1" t="s">
        <v>235</v>
      </c>
      <c r="B237">
        <v>330220.79999999999</v>
      </c>
      <c r="C237">
        <v>579196.80000000005</v>
      </c>
      <c r="D237">
        <v>269068.79999999999</v>
      </c>
      <c r="E237">
        <v>1218672</v>
      </c>
      <c r="F237">
        <v>2517933.6</v>
      </c>
      <c r="G237">
        <v>235834.66553920004</v>
      </c>
    </row>
    <row r="238" spans="1:7" x14ac:dyDescent="0.35">
      <c r="A238" s="1" t="s">
        <v>236</v>
      </c>
      <c r="B238">
        <v>499699.20000000001</v>
      </c>
      <c r="C238">
        <v>389376</v>
      </c>
      <c r="D238">
        <v>175718.40000000002</v>
      </c>
      <c r="E238">
        <v>6615648</v>
      </c>
      <c r="F238">
        <v>30451.200000000186</v>
      </c>
      <c r="G238">
        <v>325130.57208319998</v>
      </c>
    </row>
    <row r="239" spans="1:7" x14ac:dyDescent="0.35">
      <c r="A239" s="1" t="s">
        <v>237</v>
      </c>
      <c r="B239">
        <v>406660.8</v>
      </c>
      <c r="C239">
        <v>792136.8</v>
      </c>
      <c r="D239">
        <v>24024</v>
      </c>
      <c r="E239">
        <v>2843568</v>
      </c>
      <c r="F239">
        <v>186513.6</v>
      </c>
      <c r="G239">
        <v>195076.71601600002</v>
      </c>
    </row>
    <row r="240" spans="1:7" x14ac:dyDescent="0.35">
      <c r="A240" s="1" t="s">
        <v>238</v>
      </c>
      <c r="B240">
        <v>864864.00000000012</v>
      </c>
      <c r="C240">
        <v>827424.00000000012</v>
      </c>
      <c r="D240">
        <v>356928</v>
      </c>
      <c r="E240">
        <v>15894320</v>
      </c>
      <c r="F240">
        <v>999180</v>
      </c>
      <c r="G240">
        <v>816834.94609600003</v>
      </c>
    </row>
    <row r="241" spans="1:7" x14ac:dyDescent="0.35">
      <c r="A241" s="1" t="s">
        <v>239</v>
      </c>
      <c r="B241">
        <v>38438.400000000023</v>
      </c>
      <c r="C241">
        <v>571084.80000000005</v>
      </c>
      <c r="D241">
        <v>45760</v>
      </c>
      <c r="E241">
        <v>1031680</v>
      </c>
      <c r="F241">
        <v>248684.80000000005</v>
      </c>
      <c r="G241">
        <v>144694.02163840004</v>
      </c>
    </row>
    <row r="242" spans="1:7" x14ac:dyDescent="0.35">
      <c r="A242" s="1" t="s">
        <v>240</v>
      </c>
      <c r="B242">
        <v>215779.19999999998</v>
      </c>
      <c r="C242">
        <v>973440</v>
      </c>
      <c r="D242">
        <v>153753.60000000001</v>
      </c>
      <c r="E242">
        <v>5055232</v>
      </c>
      <c r="F242">
        <v>1065791.9999999998</v>
      </c>
      <c r="G242">
        <v>538442.76212480001</v>
      </c>
    </row>
    <row r="243" spans="1:7" x14ac:dyDescent="0.35">
      <c r="A243" s="1" t="s">
        <v>241</v>
      </c>
      <c r="B243">
        <v>122304.00000000001</v>
      </c>
      <c r="C243">
        <v>459680</v>
      </c>
      <c r="D243">
        <v>768768</v>
      </c>
      <c r="E243">
        <v>1160640</v>
      </c>
      <c r="F243">
        <v>856440</v>
      </c>
      <c r="G243">
        <v>407022.45001600002</v>
      </c>
    </row>
    <row r="244" spans="1:7" x14ac:dyDescent="0.35">
      <c r="A244" s="1" t="s">
        <v>242</v>
      </c>
      <c r="B244">
        <v>176904</v>
      </c>
      <c r="C244">
        <v>37856</v>
      </c>
      <c r="D244">
        <v>391248.00000000006</v>
      </c>
      <c r="E244">
        <v>2263248</v>
      </c>
      <c r="F244">
        <v>479606.39999999997</v>
      </c>
      <c r="G244">
        <v>270257.41974400001</v>
      </c>
    </row>
    <row r="245" spans="1:7" x14ac:dyDescent="0.35">
      <c r="A245" s="1" t="s">
        <v>243</v>
      </c>
      <c r="B245">
        <v>485503.19999999995</v>
      </c>
      <c r="C245">
        <v>1260604.7999999998</v>
      </c>
      <c r="D245">
        <v>72072</v>
      </c>
      <c r="E245">
        <v>2756520</v>
      </c>
      <c r="F245">
        <v>1798524</v>
      </c>
      <c r="G245">
        <v>669798.38577599998</v>
      </c>
    </row>
    <row r="246" spans="1:7" x14ac:dyDescent="0.35">
      <c r="A246" s="1" t="s">
        <v>244</v>
      </c>
      <c r="B246">
        <v>297024</v>
      </c>
      <c r="C246">
        <v>139932</v>
      </c>
      <c r="D246">
        <v>539396</v>
      </c>
      <c r="E246">
        <v>282100</v>
      </c>
      <c r="F246">
        <v>597922</v>
      </c>
      <c r="G246">
        <v>329390.38028000004</v>
      </c>
    </row>
    <row r="247" spans="1:7" x14ac:dyDescent="0.35">
      <c r="A247" s="1" t="s">
        <v>245</v>
      </c>
      <c r="B247">
        <v>391372.80000000005</v>
      </c>
      <c r="C247">
        <v>259584</v>
      </c>
      <c r="D247">
        <v>183040</v>
      </c>
      <c r="E247">
        <v>1624896</v>
      </c>
      <c r="F247">
        <v>411091.19999999995</v>
      </c>
      <c r="G247">
        <v>240918.07900160001</v>
      </c>
    </row>
    <row r="248" spans="1:7" x14ac:dyDescent="0.35">
      <c r="A248" s="1" t="s">
        <v>246</v>
      </c>
      <c r="B248">
        <v>82992</v>
      </c>
      <c r="C248">
        <v>1116211.2</v>
      </c>
      <c r="D248">
        <v>9152</v>
      </c>
      <c r="E248">
        <v>11400064</v>
      </c>
      <c r="F248">
        <v>1309401.6000000001</v>
      </c>
      <c r="G248">
        <v>655417.40226560005</v>
      </c>
    </row>
    <row r="249" spans="1:7" x14ac:dyDescent="0.35">
      <c r="A249" s="1" t="s">
        <v>247</v>
      </c>
      <c r="B249">
        <v>19656</v>
      </c>
      <c r="C249">
        <v>70980</v>
      </c>
      <c r="D249">
        <v>416416.00000000006</v>
      </c>
      <c r="E249">
        <v>499720</v>
      </c>
      <c r="F249">
        <v>886574.00000000012</v>
      </c>
      <c r="G249">
        <v>208992.32057599997</v>
      </c>
    </row>
    <row r="250" spans="1:7" x14ac:dyDescent="0.35">
      <c r="A250" s="1" t="s">
        <v>248</v>
      </c>
      <c r="B250">
        <v>22932</v>
      </c>
      <c r="C250">
        <v>51376</v>
      </c>
      <c r="D250">
        <v>140940.79999999999</v>
      </c>
      <c r="E250">
        <v>1863472</v>
      </c>
      <c r="F250">
        <v>83740.79999999993</v>
      </c>
      <c r="G250">
        <v>102142.428128</v>
      </c>
    </row>
    <row r="251" spans="1:7" x14ac:dyDescent="0.35">
      <c r="A251" s="1" t="s">
        <v>249</v>
      </c>
      <c r="B251">
        <v>129292.8</v>
      </c>
      <c r="C251">
        <v>150883.20000000001</v>
      </c>
      <c r="D251">
        <v>112112</v>
      </c>
      <c r="E251">
        <v>128960</v>
      </c>
      <c r="F251">
        <v>380640</v>
      </c>
      <c r="G251">
        <v>91496.215491200011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3605-ABC6-4A43-BC9B-FDAF309A7517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65208</v>
      </c>
      <c r="C2">
        <v>1370928</v>
      </c>
      <c r="D2">
        <v>55598.399999999994</v>
      </c>
      <c r="E2">
        <v>4384640</v>
      </c>
      <c r="F2">
        <v>1522560</v>
      </c>
      <c r="G2">
        <v>575606.91760000004</v>
      </c>
    </row>
    <row r="3" spans="1:7" x14ac:dyDescent="0.35">
      <c r="A3" s="1" t="s">
        <v>1</v>
      </c>
      <c r="B3">
        <v>53508</v>
      </c>
      <c r="C3">
        <v>817689.59999999998</v>
      </c>
      <c r="D3">
        <v>157248</v>
      </c>
      <c r="E3">
        <v>723996</v>
      </c>
      <c r="F3">
        <v>235872.00000000006</v>
      </c>
      <c r="G3">
        <v>434371.21480479994</v>
      </c>
    </row>
    <row r="4" spans="1:7" x14ac:dyDescent="0.35">
      <c r="A4" s="1" t="s">
        <v>2</v>
      </c>
      <c r="B4">
        <v>3931.2</v>
      </c>
      <c r="C4">
        <v>103833.59999999998</v>
      </c>
      <c r="D4">
        <v>3294.72</v>
      </c>
      <c r="E4">
        <v>73008</v>
      </c>
      <c r="F4">
        <v>314662.39999999997</v>
      </c>
      <c r="G4">
        <v>28672.647798343285</v>
      </c>
    </row>
    <row r="5" spans="1:7" x14ac:dyDescent="0.35">
      <c r="A5" s="1" t="s">
        <v>3</v>
      </c>
      <c r="B5">
        <v>191100</v>
      </c>
      <c r="C5">
        <v>34944</v>
      </c>
      <c r="D5">
        <v>89232</v>
      </c>
      <c r="E5">
        <v>338000</v>
      </c>
      <c r="F5">
        <v>304512</v>
      </c>
      <c r="G5">
        <v>458366.07419200003</v>
      </c>
    </row>
    <row r="6" spans="1:7" x14ac:dyDescent="0.35">
      <c r="A6" s="1" t="s">
        <v>4</v>
      </c>
      <c r="B6">
        <v>85176</v>
      </c>
      <c r="C6">
        <v>18928</v>
      </c>
      <c r="D6">
        <v>57657.600000000006</v>
      </c>
      <c r="E6">
        <v>259584</v>
      </c>
      <c r="F6">
        <v>62805.600000000006</v>
      </c>
      <c r="G6">
        <v>139331.1300992</v>
      </c>
    </row>
    <row r="7" spans="1:7" x14ac:dyDescent="0.35">
      <c r="A7" s="1" t="s">
        <v>5</v>
      </c>
      <c r="B7">
        <v>61916.399999999994</v>
      </c>
      <c r="C7">
        <v>337792</v>
      </c>
      <c r="D7">
        <v>165984</v>
      </c>
      <c r="E7">
        <v>1308944</v>
      </c>
      <c r="F7">
        <v>2131584</v>
      </c>
      <c r="G7">
        <v>227254.47690399998</v>
      </c>
    </row>
    <row r="8" spans="1:7" x14ac:dyDescent="0.35">
      <c r="A8" s="1" t="s">
        <v>6</v>
      </c>
      <c r="B8">
        <v>943488.00000000012</v>
      </c>
      <c r="C8">
        <v>11897.599999999977</v>
      </c>
      <c r="D8">
        <v>65894.399999999994</v>
      </c>
      <c r="E8">
        <v>535392</v>
      </c>
      <c r="F8">
        <v>1009457.2799999999</v>
      </c>
      <c r="G8">
        <v>178697.5109504</v>
      </c>
    </row>
    <row r="9" spans="1:7" x14ac:dyDescent="0.35">
      <c r="A9" s="1" t="s">
        <v>7</v>
      </c>
      <c r="B9">
        <v>47501.999999999993</v>
      </c>
      <c r="C9">
        <v>37180</v>
      </c>
      <c r="D9">
        <v>240926.40000000002</v>
      </c>
      <c r="E9">
        <v>784160</v>
      </c>
      <c r="F9">
        <v>114192</v>
      </c>
      <c r="G9">
        <v>410929.23466400005</v>
      </c>
    </row>
    <row r="10" spans="1:7" x14ac:dyDescent="0.35">
      <c r="A10" s="1" t="s">
        <v>8</v>
      </c>
      <c r="C10">
        <v>104832.00000000003</v>
      </c>
      <c r="D10">
        <v>1921.92</v>
      </c>
      <c r="E10">
        <v>89232</v>
      </c>
      <c r="F10">
        <v>128959.99999999997</v>
      </c>
      <c r="G10">
        <v>21973.312242466891</v>
      </c>
    </row>
    <row r="11" spans="1:7" x14ac:dyDescent="0.35">
      <c r="A11" s="1" t="s">
        <v>9</v>
      </c>
      <c r="B11">
        <v>103783.67999999999</v>
      </c>
      <c r="C11">
        <v>231192.00000000003</v>
      </c>
      <c r="D11">
        <v>10982.4</v>
      </c>
      <c r="E11">
        <v>365040</v>
      </c>
      <c r="F11">
        <v>25122.240000000002</v>
      </c>
      <c r="G11">
        <v>98607.279180799989</v>
      </c>
    </row>
    <row r="12" spans="1:7" x14ac:dyDescent="0.35">
      <c r="A12" s="1" t="s">
        <v>10</v>
      </c>
      <c r="B12">
        <v>16848</v>
      </c>
      <c r="C12">
        <v>174137.60000000003</v>
      </c>
      <c r="D12">
        <v>28641.600000000002</v>
      </c>
      <c r="E12">
        <v>1740960</v>
      </c>
      <c r="F12">
        <v>96428.800000000003</v>
      </c>
      <c r="G12">
        <v>186781.4985088</v>
      </c>
    </row>
    <row r="13" spans="1:7" x14ac:dyDescent="0.35">
      <c r="A13" s="1" t="s">
        <v>11</v>
      </c>
      <c r="B13">
        <v>106142.39999999998</v>
      </c>
      <c r="C13">
        <v>26208</v>
      </c>
      <c r="D13">
        <v>327272.39999999997</v>
      </c>
      <c r="E13">
        <v>1262196</v>
      </c>
      <c r="F13">
        <v>1918425.5999999999</v>
      </c>
      <c r="G13">
        <v>479193.66574560007</v>
      </c>
    </row>
    <row r="14" spans="1:7" x14ac:dyDescent="0.35">
      <c r="A14" s="1" t="s">
        <v>12</v>
      </c>
      <c r="B14">
        <v>1441.44</v>
      </c>
      <c r="C14">
        <v>232003.20000000001</v>
      </c>
      <c r="D14">
        <v>51480</v>
      </c>
      <c r="E14">
        <v>189280</v>
      </c>
      <c r="F14">
        <v>268735.99999999988</v>
      </c>
      <c r="G14">
        <v>19255.816577096084</v>
      </c>
    </row>
    <row r="15" spans="1:7" x14ac:dyDescent="0.35">
      <c r="A15" s="1" t="s">
        <v>13</v>
      </c>
      <c r="B15">
        <v>383292</v>
      </c>
      <c r="C15">
        <v>109824</v>
      </c>
      <c r="D15">
        <v>123552</v>
      </c>
      <c r="E15">
        <v>6615648</v>
      </c>
      <c r="F15">
        <v>754936</v>
      </c>
      <c r="G15">
        <v>720407.38431999995</v>
      </c>
    </row>
    <row r="16" spans="1:7" x14ac:dyDescent="0.35">
      <c r="A16" s="1" t="s">
        <v>14</v>
      </c>
      <c r="B16">
        <v>34398</v>
      </c>
      <c r="C16">
        <v>99008</v>
      </c>
      <c r="D16">
        <v>331531.2</v>
      </c>
      <c r="E16">
        <v>868795.20000000007</v>
      </c>
      <c r="F16">
        <v>77269.919999999998</v>
      </c>
      <c r="G16">
        <v>497663.68943200004</v>
      </c>
    </row>
    <row r="17" spans="1:7" x14ac:dyDescent="0.35">
      <c r="A17" s="1" t="s">
        <v>15</v>
      </c>
      <c r="B17">
        <v>9828</v>
      </c>
      <c r="C17">
        <v>249849.60000000003</v>
      </c>
      <c r="D17">
        <v>16473.600000000002</v>
      </c>
      <c r="E17">
        <v>1149876</v>
      </c>
      <c r="F17">
        <v>575527.67999999993</v>
      </c>
      <c r="G17">
        <v>120945.02442946096</v>
      </c>
    </row>
    <row r="18" spans="1:7" x14ac:dyDescent="0.35">
      <c r="A18" s="1" t="s">
        <v>16</v>
      </c>
      <c r="C18">
        <v>873392</v>
      </c>
      <c r="D18">
        <v>224639.99999999997</v>
      </c>
      <c r="E18">
        <v>4461600</v>
      </c>
      <c r="F18">
        <v>570960</v>
      </c>
      <c r="G18">
        <v>156068.98781416571</v>
      </c>
    </row>
    <row r="19" spans="1:7" x14ac:dyDescent="0.35">
      <c r="A19" s="1" t="s">
        <v>17</v>
      </c>
      <c r="B19">
        <v>2882.8799999999987</v>
      </c>
      <c r="C19">
        <v>153753.60000000009</v>
      </c>
      <c r="D19">
        <v>151282.55999999997</v>
      </c>
      <c r="E19">
        <v>3191760</v>
      </c>
      <c r="F19">
        <v>128127.99999999997</v>
      </c>
      <c r="G19">
        <v>47782.949909119154</v>
      </c>
    </row>
    <row r="20" spans="1:7" x14ac:dyDescent="0.35">
      <c r="A20" s="1" t="s">
        <v>18</v>
      </c>
      <c r="B20">
        <v>53944.799999999996</v>
      </c>
      <c r="C20">
        <v>2704</v>
      </c>
      <c r="D20">
        <v>20134.399999999994</v>
      </c>
      <c r="E20">
        <v>38688</v>
      </c>
      <c r="F20">
        <v>106579.2</v>
      </c>
      <c r="G20">
        <v>30722.577966334691</v>
      </c>
    </row>
    <row r="21" spans="1:7" x14ac:dyDescent="0.35">
      <c r="A21" s="1" t="s">
        <v>19</v>
      </c>
      <c r="B21">
        <v>106142.39999999999</v>
      </c>
      <c r="C21">
        <v>389376</v>
      </c>
      <c r="D21">
        <v>135907.20000000001</v>
      </c>
      <c r="E21">
        <v>4258800</v>
      </c>
      <c r="F21">
        <v>305510.39999999997</v>
      </c>
      <c r="G21">
        <v>120766.83492323942</v>
      </c>
    </row>
    <row r="22" spans="1:7" x14ac:dyDescent="0.35">
      <c r="A22" s="1" t="s">
        <v>20</v>
      </c>
      <c r="B22">
        <v>324717.12</v>
      </c>
      <c r="C22">
        <v>183705.60000000003</v>
      </c>
      <c r="D22">
        <v>37065.600000000006</v>
      </c>
      <c r="E22">
        <v>613267.19999999995</v>
      </c>
      <c r="F22">
        <v>411091.19999999995</v>
      </c>
      <c r="G22">
        <v>370514.75585280004</v>
      </c>
    </row>
    <row r="23" spans="1:7" x14ac:dyDescent="0.35">
      <c r="A23" s="1" t="s">
        <v>21</v>
      </c>
      <c r="B23">
        <v>19712.160000000003</v>
      </c>
      <c r="C23">
        <v>45427.200000000012</v>
      </c>
      <c r="D23">
        <v>2471.0400000000004</v>
      </c>
      <c r="E23">
        <v>147232.79999999999</v>
      </c>
      <c r="F23">
        <v>94723.199999999997</v>
      </c>
      <c r="G23">
        <v>138299.27518208401</v>
      </c>
    </row>
    <row r="24" spans="1:7" x14ac:dyDescent="0.35">
      <c r="A24" s="1" t="s">
        <v>22</v>
      </c>
      <c r="B24">
        <v>246402.00000000003</v>
      </c>
      <c r="C24">
        <v>52322.400000000001</v>
      </c>
      <c r="D24">
        <v>44226</v>
      </c>
      <c r="E24">
        <v>2496873.6</v>
      </c>
      <c r="F24">
        <v>145594.79999999996</v>
      </c>
      <c r="G24">
        <v>129731.98933889973</v>
      </c>
    </row>
    <row r="25" spans="1:7" x14ac:dyDescent="0.35">
      <c r="A25" s="1" t="s">
        <v>23</v>
      </c>
      <c r="B25">
        <v>207916.80000000002</v>
      </c>
      <c r="C25">
        <v>12979.200000000004</v>
      </c>
      <c r="D25">
        <v>58125.599999999999</v>
      </c>
      <c r="E25">
        <v>866611.19999999984</v>
      </c>
      <c r="F25">
        <v>127895.03999999996</v>
      </c>
      <c r="G25">
        <v>34188.541867215899</v>
      </c>
    </row>
    <row r="26" spans="1:7" x14ac:dyDescent="0.35">
      <c r="A26" s="1" t="s">
        <v>24</v>
      </c>
      <c r="B26">
        <v>58968.000000000015</v>
      </c>
      <c r="C26">
        <v>20550.400000000001</v>
      </c>
      <c r="D26">
        <v>109824</v>
      </c>
      <c r="E26">
        <v>416416</v>
      </c>
      <c r="F26">
        <v>116729.59999999999</v>
      </c>
      <c r="G26">
        <v>120266.91535040001</v>
      </c>
    </row>
    <row r="27" spans="1:7" x14ac:dyDescent="0.35">
      <c r="A27" s="1" t="s">
        <v>25</v>
      </c>
      <c r="B27">
        <v>3223.5840000000003</v>
      </c>
      <c r="C27">
        <v>136281.60000000001</v>
      </c>
      <c r="D27">
        <v>189446.40000000002</v>
      </c>
      <c r="E27">
        <v>870480</v>
      </c>
      <c r="F27">
        <v>343200</v>
      </c>
      <c r="G27">
        <v>71477.46503040001</v>
      </c>
    </row>
    <row r="28" spans="1:7" x14ac:dyDescent="0.35">
      <c r="A28" s="1" t="s">
        <v>26</v>
      </c>
      <c r="B28">
        <v>14236.559999999996</v>
      </c>
      <c r="C28">
        <v>442915.19999999995</v>
      </c>
      <c r="D28">
        <v>35380.799999999996</v>
      </c>
      <c r="E28">
        <v>37720.799999999996</v>
      </c>
      <c r="F28">
        <v>17128.8</v>
      </c>
      <c r="G28">
        <v>44004.841546164425</v>
      </c>
    </row>
    <row r="29" spans="1:7" x14ac:dyDescent="0.35">
      <c r="A29" s="1" t="s">
        <v>27</v>
      </c>
      <c r="B29">
        <v>402948</v>
      </c>
      <c r="C29">
        <v>152755.20000000001</v>
      </c>
      <c r="D29">
        <v>203037.12</v>
      </c>
      <c r="E29">
        <v>2299752</v>
      </c>
      <c r="F29">
        <v>165983.99999999994</v>
      </c>
      <c r="G29">
        <v>223820.68225920002</v>
      </c>
    </row>
    <row r="30" spans="1:7" x14ac:dyDescent="0.35">
      <c r="A30" s="1" t="s">
        <v>28</v>
      </c>
      <c r="B30">
        <v>32104.799999999988</v>
      </c>
      <c r="C30">
        <v>8112</v>
      </c>
      <c r="D30">
        <v>59716.799999999996</v>
      </c>
      <c r="E30">
        <v>703040</v>
      </c>
      <c r="F30">
        <v>193174.8</v>
      </c>
      <c r="G30">
        <v>50866.936407229514</v>
      </c>
    </row>
    <row r="31" spans="1:7" x14ac:dyDescent="0.35">
      <c r="A31" s="1" t="s">
        <v>29</v>
      </c>
      <c r="B31">
        <v>3800.1599999999862</v>
      </c>
      <c r="C31">
        <v>302848</v>
      </c>
      <c r="D31">
        <v>97297.2</v>
      </c>
      <c r="E31">
        <v>1686484.7999999998</v>
      </c>
      <c r="F31">
        <v>912038.40000000014</v>
      </c>
      <c r="G31">
        <v>543577.18935520004</v>
      </c>
    </row>
    <row r="32" spans="1:7" x14ac:dyDescent="0.35">
      <c r="A32" s="1" t="s">
        <v>30</v>
      </c>
      <c r="B32">
        <v>43430.399999999994</v>
      </c>
      <c r="C32">
        <v>8112</v>
      </c>
      <c r="D32">
        <v>80514.720000000001</v>
      </c>
      <c r="E32">
        <v>251472</v>
      </c>
      <c r="F32">
        <v>355680</v>
      </c>
      <c r="G32">
        <v>84319.925851200009</v>
      </c>
    </row>
    <row r="33" spans="1:7" x14ac:dyDescent="0.35">
      <c r="A33" s="1" t="s">
        <v>31</v>
      </c>
      <c r="B33">
        <v>7800</v>
      </c>
      <c r="C33">
        <v>32448</v>
      </c>
      <c r="D33">
        <v>66718.080000000002</v>
      </c>
      <c r="E33">
        <v>350438.40000000002</v>
      </c>
      <c r="F33">
        <v>199180.79999999999</v>
      </c>
      <c r="G33">
        <v>160437.1392416</v>
      </c>
    </row>
    <row r="34" spans="1:7" x14ac:dyDescent="0.35">
      <c r="A34" s="1" t="s">
        <v>32</v>
      </c>
      <c r="B34">
        <v>28080</v>
      </c>
      <c r="C34">
        <v>36608.000000000015</v>
      </c>
      <c r="D34">
        <v>54362.880000000005</v>
      </c>
      <c r="E34">
        <v>404289.6</v>
      </c>
      <c r="F34">
        <v>57096</v>
      </c>
      <c r="G34">
        <v>46358.372132799996</v>
      </c>
    </row>
    <row r="35" spans="1:7" x14ac:dyDescent="0.35">
      <c r="A35" s="1" t="s">
        <v>33</v>
      </c>
      <c r="B35">
        <v>430684.80000000005</v>
      </c>
      <c r="C35">
        <v>487801.60000000009</v>
      </c>
      <c r="D35">
        <v>175718.40000000002</v>
      </c>
      <c r="E35">
        <v>1817088</v>
      </c>
      <c r="F35">
        <v>71052.800000000003</v>
      </c>
      <c r="G35">
        <v>114561.84914467667</v>
      </c>
    </row>
    <row r="36" spans="1:7" x14ac:dyDescent="0.35">
      <c r="A36" s="1" t="s">
        <v>34</v>
      </c>
      <c r="B36">
        <v>94208.4</v>
      </c>
      <c r="C36">
        <v>66924</v>
      </c>
      <c r="D36">
        <v>234000.00000000003</v>
      </c>
      <c r="E36">
        <v>1305720</v>
      </c>
      <c r="F36">
        <v>121679.99999999999</v>
      </c>
      <c r="G36">
        <v>142868.70118560002</v>
      </c>
    </row>
    <row r="37" spans="1:7" x14ac:dyDescent="0.35">
      <c r="A37" s="1" t="s">
        <v>35</v>
      </c>
      <c r="B37">
        <v>67695.263999999996</v>
      </c>
      <c r="C37">
        <v>66248</v>
      </c>
      <c r="D37">
        <v>735134.4</v>
      </c>
      <c r="E37">
        <v>1686484.8</v>
      </c>
      <c r="F37">
        <v>122304.00000000004</v>
      </c>
      <c r="G37">
        <v>273393.16320248484</v>
      </c>
    </row>
    <row r="38" spans="1:7" x14ac:dyDescent="0.35">
      <c r="A38" s="1" t="s">
        <v>36</v>
      </c>
      <c r="B38">
        <v>439732.8</v>
      </c>
      <c r="C38">
        <v>328535.99999999994</v>
      </c>
      <c r="D38">
        <v>583783.20000000007</v>
      </c>
      <c r="E38">
        <v>1277640</v>
      </c>
      <c r="F38">
        <v>58237.919999999998</v>
      </c>
      <c r="G38">
        <v>291628.76577120001</v>
      </c>
    </row>
    <row r="39" spans="1:7" x14ac:dyDescent="0.35">
      <c r="A39" s="1" t="s">
        <v>37</v>
      </c>
      <c r="B39">
        <v>188697.60000000001</v>
      </c>
      <c r="C39">
        <v>232960.00000000006</v>
      </c>
      <c r="D39">
        <v>16473.599999999999</v>
      </c>
      <c r="E39">
        <v>1800864</v>
      </c>
      <c r="F39">
        <v>532896</v>
      </c>
      <c r="G39">
        <v>142641.4611074322</v>
      </c>
    </row>
    <row r="40" spans="1:7" x14ac:dyDescent="0.35">
      <c r="A40" s="1" t="s">
        <v>38</v>
      </c>
      <c r="B40">
        <v>314495.99999999994</v>
      </c>
      <c r="C40">
        <v>564595.20000000007</v>
      </c>
      <c r="D40">
        <v>56833.920000000006</v>
      </c>
      <c r="E40">
        <v>5118422.3999999994</v>
      </c>
      <c r="F40">
        <v>323481.59999999998</v>
      </c>
      <c r="G40">
        <v>423784.65742079995</v>
      </c>
    </row>
    <row r="41" spans="1:7" x14ac:dyDescent="0.35">
      <c r="A41" s="1" t="s">
        <v>39</v>
      </c>
      <c r="B41">
        <v>64864.799999999988</v>
      </c>
      <c r="C41">
        <v>79872</v>
      </c>
      <c r="D41">
        <v>155844</v>
      </c>
      <c r="E41">
        <v>292032</v>
      </c>
      <c r="F41">
        <v>29689.919999999998</v>
      </c>
      <c r="G41">
        <v>204741.9777936</v>
      </c>
    </row>
    <row r="42" spans="1:7" x14ac:dyDescent="0.35">
      <c r="A42" s="1" t="s">
        <v>40</v>
      </c>
      <c r="B42">
        <v>4680</v>
      </c>
      <c r="C42">
        <v>235872</v>
      </c>
      <c r="D42">
        <v>176435.99999999994</v>
      </c>
      <c r="E42">
        <v>135200</v>
      </c>
      <c r="F42">
        <v>157872</v>
      </c>
      <c r="G42">
        <v>86918.294771004788</v>
      </c>
    </row>
    <row r="43" spans="1:7" x14ac:dyDescent="0.35">
      <c r="A43" s="1" t="s">
        <v>41</v>
      </c>
      <c r="B43">
        <v>18869.759999999998</v>
      </c>
      <c r="C43">
        <v>696550.40000000014</v>
      </c>
      <c r="D43">
        <v>320320</v>
      </c>
      <c r="E43">
        <v>6685286.3999999994</v>
      </c>
      <c r="F43">
        <v>258585.59999999995</v>
      </c>
      <c r="G43">
        <v>128340.41499875489</v>
      </c>
    </row>
    <row r="44" spans="1:7" x14ac:dyDescent="0.35">
      <c r="A44" s="1" t="s">
        <v>42</v>
      </c>
      <c r="B44">
        <v>12804.48</v>
      </c>
      <c r="C44">
        <v>234707.20000000007</v>
      </c>
      <c r="D44">
        <v>32672.639999999999</v>
      </c>
      <c r="E44">
        <v>3791424</v>
      </c>
      <c r="F44">
        <v>77650.559999999983</v>
      </c>
      <c r="G44">
        <v>58078.356887869726</v>
      </c>
    </row>
    <row r="45" spans="1:7" x14ac:dyDescent="0.35">
      <c r="A45" s="1" t="s">
        <v>43</v>
      </c>
      <c r="B45">
        <v>320785.91999999998</v>
      </c>
      <c r="C45">
        <v>599040</v>
      </c>
      <c r="D45">
        <v>100672</v>
      </c>
      <c r="E45">
        <v>3544943.9999999995</v>
      </c>
      <c r="F45">
        <v>1747772</v>
      </c>
      <c r="G45">
        <v>188038.64916450978</v>
      </c>
    </row>
    <row r="46" spans="1:7" x14ac:dyDescent="0.35">
      <c r="A46" s="1" t="s">
        <v>44</v>
      </c>
      <c r="B46">
        <v>48222.720000000001</v>
      </c>
      <c r="C46">
        <v>69222.400000000023</v>
      </c>
      <c r="D46">
        <v>160617.60000000001</v>
      </c>
      <c r="E46">
        <v>1202198.3999999999</v>
      </c>
      <c r="F46">
        <v>1508603.2</v>
      </c>
      <c r="G46">
        <v>56816.158786663917</v>
      </c>
    </row>
    <row r="47" spans="1:7" x14ac:dyDescent="0.35">
      <c r="A47" s="1" t="s">
        <v>45</v>
      </c>
      <c r="B47">
        <v>45864</v>
      </c>
      <c r="C47">
        <v>230630.40000000002</v>
      </c>
      <c r="D47">
        <v>23063.040000000001</v>
      </c>
      <c r="E47">
        <v>3265080</v>
      </c>
      <c r="F47">
        <v>129292.80000000002</v>
      </c>
      <c r="G47">
        <v>207201.85853901668</v>
      </c>
    </row>
    <row r="48" spans="1:7" x14ac:dyDescent="0.35">
      <c r="A48" s="1" t="s">
        <v>46</v>
      </c>
      <c r="B48">
        <v>73710</v>
      </c>
      <c r="C48">
        <v>24960</v>
      </c>
      <c r="D48">
        <v>56160</v>
      </c>
      <c r="E48">
        <v>892320</v>
      </c>
      <c r="F48">
        <v>18270.719999999998</v>
      </c>
      <c r="G48">
        <v>61886.552291200001</v>
      </c>
    </row>
    <row r="49" spans="1:7" x14ac:dyDescent="0.35">
      <c r="A49" s="1" t="s">
        <v>47</v>
      </c>
      <c r="B49">
        <v>177297.12</v>
      </c>
      <c r="C49">
        <v>194438.40000000002</v>
      </c>
      <c r="D49">
        <v>312312.00000000006</v>
      </c>
      <c r="E49">
        <v>4062240</v>
      </c>
      <c r="F49">
        <v>144643.19999999998</v>
      </c>
      <c r="G49">
        <v>231716.1716688</v>
      </c>
    </row>
    <row r="50" spans="1:7" x14ac:dyDescent="0.35">
      <c r="A50" s="1" t="s">
        <v>48</v>
      </c>
      <c r="B50">
        <v>33789.599999999999</v>
      </c>
      <c r="C50">
        <v>87880.000000000015</v>
      </c>
      <c r="D50">
        <v>11531.52</v>
      </c>
      <c r="E50">
        <v>496496</v>
      </c>
      <c r="F50">
        <v>186700.79999999999</v>
      </c>
      <c r="G50">
        <v>61009.217734400008</v>
      </c>
    </row>
    <row r="51" spans="1:7" x14ac:dyDescent="0.35">
      <c r="A51" s="1" t="s">
        <v>49</v>
      </c>
      <c r="B51">
        <v>108239.03999999999</v>
      </c>
      <c r="C51">
        <v>30700.800000000003</v>
      </c>
      <c r="D51">
        <v>112320</v>
      </c>
      <c r="E51">
        <v>98560.799999999988</v>
      </c>
      <c r="F51">
        <v>171288</v>
      </c>
      <c r="G51">
        <v>125991.67061177726</v>
      </c>
    </row>
    <row r="52" spans="1:7" x14ac:dyDescent="0.35">
      <c r="A52" s="1" t="s">
        <v>50</v>
      </c>
      <c r="B52">
        <v>42981.119999999995</v>
      </c>
      <c r="C52">
        <v>126464</v>
      </c>
      <c r="D52">
        <v>69189.12000000001</v>
      </c>
      <c r="E52">
        <v>3203366.4</v>
      </c>
      <c r="F52">
        <v>594048</v>
      </c>
      <c r="G52">
        <v>158094.13141735061</v>
      </c>
    </row>
    <row r="53" spans="1:7" x14ac:dyDescent="0.35">
      <c r="A53" s="1" t="s">
        <v>51</v>
      </c>
      <c r="B53">
        <v>5700.24</v>
      </c>
      <c r="C53">
        <v>232003.20000000001</v>
      </c>
      <c r="D53">
        <v>65688.48000000001</v>
      </c>
      <c r="E53">
        <v>237276</v>
      </c>
      <c r="F53">
        <v>100488.95999999998</v>
      </c>
      <c r="G53">
        <v>99391.659744000004</v>
      </c>
    </row>
    <row r="54" spans="1:7" x14ac:dyDescent="0.35">
      <c r="A54" s="1" t="s">
        <v>52</v>
      </c>
      <c r="B54">
        <v>58509.359999999986</v>
      </c>
      <c r="C54">
        <v>312000</v>
      </c>
      <c r="D54">
        <v>233999.99999999994</v>
      </c>
      <c r="E54">
        <v>2000960</v>
      </c>
      <c r="F54">
        <v>648960.00000000012</v>
      </c>
      <c r="G54">
        <v>145330.1137248998</v>
      </c>
    </row>
    <row r="55" spans="1:7" x14ac:dyDescent="0.35">
      <c r="A55" s="1" t="s">
        <v>53</v>
      </c>
      <c r="B55">
        <v>44226.000000000007</v>
      </c>
      <c r="C55">
        <v>197683.19999999995</v>
      </c>
      <c r="D55">
        <v>164268</v>
      </c>
      <c r="E55">
        <v>788486.4</v>
      </c>
      <c r="F55">
        <v>1027727.9999999999</v>
      </c>
      <c r="G55">
        <v>238756.57237852254</v>
      </c>
    </row>
    <row r="56" spans="1:7" x14ac:dyDescent="0.35">
      <c r="A56" s="1" t="s">
        <v>54</v>
      </c>
      <c r="B56">
        <v>10640.447999999999</v>
      </c>
      <c r="C56">
        <v>40268.800000000017</v>
      </c>
      <c r="D56">
        <v>23587.200000000001</v>
      </c>
      <c r="E56">
        <v>48672</v>
      </c>
      <c r="F56">
        <v>77714</v>
      </c>
      <c r="G56">
        <v>52697.683604799997</v>
      </c>
    </row>
    <row r="57" spans="1:7" x14ac:dyDescent="0.35">
      <c r="A57" s="1" t="s">
        <v>55</v>
      </c>
      <c r="B57">
        <v>27799.200000000001</v>
      </c>
      <c r="C57">
        <v>882179.99999999988</v>
      </c>
      <c r="D57">
        <v>511758.00000000006</v>
      </c>
      <c r="E57">
        <v>8704800</v>
      </c>
      <c r="F57">
        <v>616636.79999999993</v>
      </c>
      <c r="G57">
        <v>639019.33112160012</v>
      </c>
    </row>
    <row r="58" spans="1:7" x14ac:dyDescent="0.35">
      <c r="A58" s="1" t="s">
        <v>56</v>
      </c>
      <c r="B58">
        <v>93090.816000000006</v>
      </c>
      <c r="C58">
        <v>158184</v>
      </c>
      <c r="D58">
        <v>39312</v>
      </c>
      <c r="E58">
        <v>80308.800000000003</v>
      </c>
      <c r="F58">
        <v>215280</v>
      </c>
      <c r="G58">
        <v>202803.40198560001</v>
      </c>
    </row>
    <row r="59" spans="1:7" x14ac:dyDescent="0.35">
      <c r="A59" s="1" t="s">
        <v>57</v>
      </c>
      <c r="B59">
        <v>16511.04</v>
      </c>
      <c r="C59">
        <v>46238.399999999994</v>
      </c>
      <c r="D59">
        <v>341172.00000000006</v>
      </c>
      <c r="E59">
        <v>681408</v>
      </c>
      <c r="F59">
        <v>314496</v>
      </c>
      <c r="G59">
        <v>324776.24860696716</v>
      </c>
    </row>
    <row r="60" spans="1:7" x14ac:dyDescent="0.35">
      <c r="A60" s="1" t="s">
        <v>58</v>
      </c>
      <c r="B60">
        <v>64602.719999999994</v>
      </c>
      <c r="C60">
        <v>67059.200000000012</v>
      </c>
      <c r="D60">
        <v>18018</v>
      </c>
      <c r="E60">
        <v>701220</v>
      </c>
      <c r="F60">
        <v>230921.60000000001</v>
      </c>
      <c r="G60">
        <v>17063.717513637304</v>
      </c>
    </row>
    <row r="61" spans="1:7" x14ac:dyDescent="0.35">
      <c r="A61" s="1" t="s">
        <v>59</v>
      </c>
      <c r="B61">
        <v>7488.0000000000036</v>
      </c>
      <c r="C61">
        <v>99840</v>
      </c>
      <c r="D61">
        <v>61776.000000000007</v>
      </c>
      <c r="E61">
        <v>905299.2</v>
      </c>
      <c r="F61">
        <v>235872.00000000003</v>
      </c>
      <c r="G61">
        <v>50043.768773105563</v>
      </c>
    </row>
    <row r="62" spans="1:7" x14ac:dyDescent="0.35">
      <c r="A62" s="1" t="s">
        <v>60</v>
      </c>
      <c r="B62">
        <v>53149.823999999986</v>
      </c>
      <c r="C62">
        <v>320153.60000000003</v>
      </c>
      <c r="D62">
        <v>89689.600000000006</v>
      </c>
      <c r="E62">
        <v>2498496</v>
      </c>
      <c r="F62">
        <v>73082.87999999999</v>
      </c>
      <c r="G62">
        <v>500682.20250397286</v>
      </c>
    </row>
    <row r="63" spans="1:7" x14ac:dyDescent="0.35">
      <c r="A63" s="1" t="s">
        <v>61</v>
      </c>
      <c r="B63">
        <v>58007.040000000008</v>
      </c>
      <c r="C63">
        <v>19968</v>
      </c>
      <c r="D63">
        <v>31848.960000000003</v>
      </c>
      <c r="E63">
        <v>203112</v>
      </c>
      <c r="F63">
        <v>39967.199999999997</v>
      </c>
      <c r="G63">
        <v>72872.135273599997</v>
      </c>
    </row>
    <row r="64" spans="1:7" x14ac:dyDescent="0.35">
      <c r="A64" s="1" t="s">
        <v>62</v>
      </c>
      <c r="B64">
        <v>647337.60000000009</v>
      </c>
      <c r="C64">
        <v>300144</v>
      </c>
      <c r="D64">
        <v>54362.880000000005</v>
      </c>
      <c r="E64">
        <v>1075651.2</v>
      </c>
      <c r="F64">
        <v>235872</v>
      </c>
      <c r="G64">
        <v>145009.60543679999</v>
      </c>
    </row>
    <row r="65" spans="1:7" x14ac:dyDescent="0.35">
      <c r="A65" s="1" t="s">
        <v>63</v>
      </c>
      <c r="B65">
        <v>28080</v>
      </c>
      <c r="C65">
        <v>71385.600000000006</v>
      </c>
      <c r="D65">
        <v>100077.12000000002</v>
      </c>
      <c r="E65">
        <v>535392</v>
      </c>
      <c r="F65">
        <v>104831.99999999997</v>
      </c>
      <c r="G65">
        <v>49774.433807258698</v>
      </c>
    </row>
    <row r="66" spans="1:7" x14ac:dyDescent="0.35">
      <c r="A66" s="1" t="s">
        <v>64</v>
      </c>
      <c r="B66">
        <v>75348</v>
      </c>
      <c r="C66">
        <v>111820.79999999999</v>
      </c>
      <c r="D66">
        <v>74256</v>
      </c>
      <c r="E66">
        <v>1689324</v>
      </c>
      <c r="F66">
        <v>450297.12</v>
      </c>
      <c r="G66">
        <v>158629.89076479999</v>
      </c>
    </row>
    <row r="67" spans="1:7" x14ac:dyDescent="0.35">
      <c r="A67" s="1" t="s">
        <v>65</v>
      </c>
      <c r="B67">
        <v>24897.600000000002</v>
      </c>
      <c r="C67">
        <v>78624</v>
      </c>
      <c r="D67">
        <v>256256</v>
      </c>
      <c r="E67">
        <v>263640</v>
      </c>
      <c r="F67">
        <v>111020</v>
      </c>
      <c r="G67">
        <v>125072.79617473106</v>
      </c>
    </row>
    <row r="68" spans="1:7" x14ac:dyDescent="0.35">
      <c r="A68" s="1" t="s">
        <v>66</v>
      </c>
      <c r="B68">
        <v>122024.44799999999</v>
      </c>
      <c r="C68">
        <v>134784.00000000003</v>
      </c>
      <c r="D68">
        <v>2745.6000000000058</v>
      </c>
      <c r="E68">
        <v>2595840</v>
      </c>
      <c r="F68">
        <v>342576</v>
      </c>
      <c r="G68">
        <v>97477.173414399993</v>
      </c>
    </row>
    <row r="69" spans="1:7" x14ac:dyDescent="0.35">
      <c r="A69" s="1" t="s">
        <v>67</v>
      </c>
      <c r="B69">
        <v>17472</v>
      </c>
      <c r="C69">
        <v>86195.200000000012</v>
      </c>
      <c r="D69">
        <v>71136.000000000015</v>
      </c>
      <c r="E69">
        <v>1787385.5999999996</v>
      </c>
      <c r="F69">
        <v>266448</v>
      </c>
      <c r="G69">
        <v>297627.69537280005</v>
      </c>
    </row>
    <row r="70" spans="1:7" x14ac:dyDescent="0.35">
      <c r="A70" s="1" t="s">
        <v>68</v>
      </c>
      <c r="B70">
        <v>633360</v>
      </c>
      <c r="C70">
        <v>69222.400000000009</v>
      </c>
      <c r="D70">
        <v>39536.640000000007</v>
      </c>
      <c r="E70">
        <v>2553408</v>
      </c>
      <c r="F70">
        <v>1662336</v>
      </c>
      <c r="G70">
        <v>214075.75664784055</v>
      </c>
    </row>
    <row r="71" spans="1:7" x14ac:dyDescent="0.35">
      <c r="A71" s="1" t="s">
        <v>69</v>
      </c>
      <c r="B71">
        <v>172972.79999999999</v>
      </c>
      <c r="C71">
        <v>39936</v>
      </c>
      <c r="D71">
        <v>27456</v>
      </c>
      <c r="E71">
        <v>5561400</v>
      </c>
      <c r="F71">
        <v>742248</v>
      </c>
      <c r="G71">
        <v>128320.20889424792</v>
      </c>
    </row>
    <row r="72" spans="1:7" x14ac:dyDescent="0.35">
      <c r="A72" s="1" t="s">
        <v>70</v>
      </c>
      <c r="B72">
        <v>270815.99999999994</v>
      </c>
      <c r="C72">
        <v>312312</v>
      </c>
      <c r="D72">
        <v>91259.999999999985</v>
      </c>
      <c r="E72">
        <v>116064</v>
      </c>
      <c r="F72">
        <v>168480</v>
      </c>
      <c r="G72">
        <v>222600.85203200002</v>
      </c>
    </row>
    <row r="73" spans="1:7" x14ac:dyDescent="0.35">
      <c r="A73" s="1" t="s">
        <v>71</v>
      </c>
      <c r="B73">
        <v>308880</v>
      </c>
      <c r="C73">
        <v>416000</v>
      </c>
      <c r="D73">
        <v>140025.59999999998</v>
      </c>
      <c r="E73">
        <v>899495.99999999988</v>
      </c>
      <c r="F73">
        <v>146016.00000000003</v>
      </c>
      <c r="G73">
        <v>369081.51406141976</v>
      </c>
    </row>
    <row r="74" spans="1:7" x14ac:dyDescent="0.35">
      <c r="A74" s="1" t="s">
        <v>72</v>
      </c>
      <c r="B74">
        <v>4481.5680000000002</v>
      </c>
      <c r="C74">
        <v>233625.60000000001</v>
      </c>
      <c r="D74">
        <v>226512.00000000006</v>
      </c>
      <c r="E74">
        <v>4157400</v>
      </c>
      <c r="F74">
        <v>440294.39999999991</v>
      </c>
      <c r="G74">
        <v>357100.04690880002</v>
      </c>
    </row>
    <row r="75" spans="1:7" x14ac:dyDescent="0.35">
      <c r="A75" s="1" t="s">
        <v>73</v>
      </c>
      <c r="B75">
        <v>243734.39999999997</v>
      </c>
      <c r="C75">
        <v>133120</v>
      </c>
      <c r="D75">
        <v>212159.99999999997</v>
      </c>
      <c r="E75">
        <v>2640456</v>
      </c>
      <c r="F75">
        <v>624000</v>
      </c>
      <c r="G75">
        <v>302591.27473436436</v>
      </c>
    </row>
    <row r="76" spans="1:7" x14ac:dyDescent="0.35">
      <c r="A76" s="1" t="s">
        <v>74</v>
      </c>
      <c r="B76">
        <v>99840</v>
      </c>
      <c r="C76">
        <v>4056</v>
      </c>
      <c r="D76">
        <v>48047.999999999993</v>
      </c>
      <c r="E76">
        <v>568713.6</v>
      </c>
      <c r="F76">
        <v>28167.359999999997</v>
      </c>
      <c r="G76">
        <v>47206.841801600007</v>
      </c>
    </row>
    <row r="77" spans="1:7" x14ac:dyDescent="0.35">
      <c r="A77" s="1" t="s">
        <v>75</v>
      </c>
      <c r="B77">
        <v>24485.759999999998</v>
      </c>
      <c r="C77">
        <v>180086.40000000002</v>
      </c>
      <c r="D77">
        <v>89856</v>
      </c>
      <c r="E77">
        <v>164268</v>
      </c>
      <c r="F77">
        <v>262080.00000000003</v>
      </c>
      <c r="G77">
        <v>160379.20572959998</v>
      </c>
    </row>
    <row r="78" spans="1:7" x14ac:dyDescent="0.35">
      <c r="A78" s="1" t="s">
        <v>76</v>
      </c>
      <c r="B78">
        <v>21490.560000000001</v>
      </c>
      <c r="C78">
        <v>194688.00000000003</v>
      </c>
      <c r="D78">
        <v>411840</v>
      </c>
      <c r="E78">
        <v>7544160</v>
      </c>
      <c r="F78">
        <v>1647360</v>
      </c>
      <c r="G78">
        <v>107311.87048273129</v>
      </c>
    </row>
    <row r="79" spans="1:7" x14ac:dyDescent="0.35">
      <c r="A79" s="1" t="s">
        <v>77</v>
      </c>
      <c r="B79">
        <v>134316</v>
      </c>
      <c r="C79">
        <v>26956.800000000017</v>
      </c>
      <c r="D79">
        <v>20592</v>
      </c>
      <c r="E79">
        <v>1320228</v>
      </c>
      <c r="F79">
        <v>219024</v>
      </c>
      <c r="G79">
        <v>47764.347703529857</v>
      </c>
    </row>
    <row r="80" spans="1:7" x14ac:dyDescent="0.35">
      <c r="A80" s="1" t="s">
        <v>78</v>
      </c>
      <c r="B80">
        <v>188348.15999999997</v>
      </c>
      <c r="C80">
        <v>234707.19999999998</v>
      </c>
      <c r="D80">
        <v>165110.40000000002</v>
      </c>
      <c r="E80">
        <v>2877420</v>
      </c>
      <c r="F80">
        <v>158995.20000000001</v>
      </c>
      <c r="G80">
        <v>165117.09878843778</v>
      </c>
    </row>
    <row r="81" spans="1:7" x14ac:dyDescent="0.35">
      <c r="A81" s="1" t="s">
        <v>79</v>
      </c>
      <c r="B81">
        <v>20311.200000000012</v>
      </c>
      <c r="C81">
        <v>240115.20000000001</v>
      </c>
      <c r="D81">
        <v>38918.879999999997</v>
      </c>
      <c r="E81">
        <v>267696</v>
      </c>
      <c r="F81">
        <v>465903.35999999993</v>
      </c>
      <c r="G81">
        <v>62912.746668926964</v>
      </c>
    </row>
    <row r="82" spans="1:7" x14ac:dyDescent="0.35">
      <c r="A82" s="1" t="s">
        <v>80</v>
      </c>
      <c r="B82">
        <v>542880</v>
      </c>
      <c r="C82">
        <v>29120</v>
      </c>
      <c r="D82">
        <v>80080</v>
      </c>
      <c r="E82">
        <v>773760</v>
      </c>
      <c r="F82">
        <v>704184</v>
      </c>
      <c r="G82">
        <v>200008.34817139691</v>
      </c>
    </row>
    <row r="83" spans="1:7" x14ac:dyDescent="0.35">
      <c r="A83" s="1" t="s">
        <v>81</v>
      </c>
      <c r="B83">
        <v>192628.8</v>
      </c>
      <c r="C83">
        <v>162240</v>
      </c>
      <c r="D83">
        <v>21278.399999999998</v>
      </c>
      <c r="E83">
        <v>1095120</v>
      </c>
      <c r="F83">
        <v>99918</v>
      </c>
      <c r="G83">
        <v>89523.762797933916</v>
      </c>
    </row>
    <row r="84" spans="1:7" x14ac:dyDescent="0.35">
      <c r="A84" s="1" t="s">
        <v>82</v>
      </c>
      <c r="B84">
        <v>127960.56</v>
      </c>
      <c r="C84">
        <v>498888</v>
      </c>
      <c r="D84">
        <v>24024</v>
      </c>
      <c r="E84">
        <v>604500</v>
      </c>
      <c r="F84">
        <v>349440</v>
      </c>
      <c r="G84">
        <v>168753.9574297927</v>
      </c>
    </row>
    <row r="85" spans="1:7" x14ac:dyDescent="0.35">
      <c r="A85" s="1" t="s">
        <v>83</v>
      </c>
      <c r="B85">
        <v>48859.199999999997</v>
      </c>
      <c r="C85">
        <v>15974.400000000023</v>
      </c>
      <c r="D85">
        <v>95472</v>
      </c>
      <c r="E85">
        <v>146016</v>
      </c>
      <c r="F85">
        <v>299519.99999999994</v>
      </c>
      <c r="G85">
        <v>67021.392401764635</v>
      </c>
    </row>
    <row r="86" spans="1:7" x14ac:dyDescent="0.35">
      <c r="A86" s="1" t="s">
        <v>84</v>
      </c>
      <c r="B86">
        <v>3669.12</v>
      </c>
      <c r="C86">
        <v>90854.400000000009</v>
      </c>
      <c r="D86">
        <v>108680</v>
      </c>
      <c r="E86">
        <v>922064</v>
      </c>
      <c r="F86">
        <v>320118.23999999993</v>
      </c>
      <c r="G86">
        <v>62643.176076148535</v>
      </c>
    </row>
    <row r="87" spans="1:7" x14ac:dyDescent="0.35">
      <c r="A87" s="1" t="s">
        <v>85</v>
      </c>
      <c r="B87">
        <v>7488</v>
      </c>
      <c r="C87">
        <v>118976.00000000001</v>
      </c>
      <c r="D87">
        <v>20592</v>
      </c>
      <c r="E87">
        <v>64896</v>
      </c>
      <c r="F87">
        <v>249600</v>
      </c>
      <c r="G87">
        <v>195326.65509760001</v>
      </c>
    </row>
    <row r="88" spans="1:7" x14ac:dyDescent="0.35">
      <c r="A88" s="1" t="s">
        <v>86</v>
      </c>
      <c r="B88">
        <v>100464</v>
      </c>
      <c r="C88">
        <v>16640</v>
      </c>
      <c r="D88">
        <v>63648</v>
      </c>
      <c r="E88">
        <v>91936</v>
      </c>
      <c r="F88">
        <v>324479.99999999994</v>
      </c>
      <c r="G88">
        <v>71041.859868156316</v>
      </c>
    </row>
    <row r="89" spans="1:7" x14ac:dyDescent="0.35">
      <c r="A89" s="1" t="s">
        <v>87</v>
      </c>
      <c r="B89">
        <v>196953.11999999997</v>
      </c>
      <c r="C89">
        <v>321235.19999999995</v>
      </c>
      <c r="D89">
        <v>160056</v>
      </c>
      <c r="E89">
        <v>919900.79999999981</v>
      </c>
      <c r="F89">
        <v>316882.8</v>
      </c>
      <c r="G89">
        <v>581207.33024640009</v>
      </c>
    </row>
    <row r="90" spans="1:7" x14ac:dyDescent="0.35">
      <c r="A90" s="1" t="s">
        <v>88</v>
      </c>
      <c r="B90">
        <v>88792.703999999998</v>
      </c>
      <c r="C90">
        <v>104104</v>
      </c>
      <c r="D90">
        <v>172972.80000000002</v>
      </c>
      <c r="E90">
        <v>757120</v>
      </c>
      <c r="F90">
        <v>79934.400000000023</v>
      </c>
      <c r="G90">
        <v>474666.65427999996</v>
      </c>
    </row>
    <row r="91" spans="1:7" x14ac:dyDescent="0.35">
      <c r="A91" s="1" t="s">
        <v>89</v>
      </c>
      <c r="B91">
        <v>132612.48000000001</v>
      </c>
      <c r="C91">
        <v>434304.00000000012</v>
      </c>
      <c r="D91">
        <v>175500.00000000003</v>
      </c>
      <c r="E91">
        <v>837158.40000000002</v>
      </c>
      <c r="F91">
        <v>748800</v>
      </c>
      <c r="G91">
        <v>105999.22394990959</v>
      </c>
    </row>
    <row r="92" spans="1:7" x14ac:dyDescent="0.35">
      <c r="A92" s="1" t="s">
        <v>90</v>
      </c>
      <c r="B92">
        <v>62244</v>
      </c>
      <c r="C92">
        <v>122803.20000000001</v>
      </c>
      <c r="D92">
        <v>181209.60000000003</v>
      </c>
      <c r="E92">
        <v>4642560</v>
      </c>
      <c r="F92">
        <v>288288</v>
      </c>
      <c r="G92">
        <v>221820.49320921046</v>
      </c>
    </row>
    <row r="93" spans="1:7" x14ac:dyDescent="0.35">
      <c r="A93" s="1" t="s">
        <v>91</v>
      </c>
      <c r="B93">
        <v>111384.00000000001</v>
      </c>
      <c r="C93">
        <v>63273.600000000006</v>
      </c>
      <c r="D93">
        <v>192741.12</v>
      </c>
      <c r="E93">
        <v>1439193.5999999999</v>
      </c>
      <c r="F93">
        <v>351711.35999999987</v>
      </c>
      <c r="G93">
        <v>189235.99010206631</v>
      </c>
    </row>
    <row r="94" spans="1:7" x14ac:dyDescent="0.35">
      <c r="A94" s="1" t="s">
        <v>92</v>
      </c>
      <c r="B94">
        <v>13852.8</v>
      </c>
      <c r="C94">
        <v>372736</v>
      </c>
      <c r="D94">
        <v>82367.999999999985</v>
      </c>
      <c r="E94">
        <v>4513600</v>
      </c>
      <c r="F94">
        <v>1616160</v>
      </c>
      <c r="G94">
        <v>310256.58791457902</v>
      </c>
    </row>
    <row r="95" spans="1:7" x14ac:dyDescent="0.35">
      <c r="A95" s="1" t="s">
        <v>93</v>
      </c>
      <c r="B95">
        <v>21739.536</v>
      </c>
      <c r="C95">
        <v>51105.599999999977</v>
      </c>
      <c r="D95">
        <v>573300.00000000023</v>
      </c>
      <c r="E95">
        <v>3554460</v>
      </c>
      <c r="F95">
        <v>432432</v>
      </c>
      <c r="G95">
        <v>469823.37525760004</v>
      </c>
    </row>
    <row r="96" spans="1:7" x14ac:dyDescent="0.35">
      <c r="A96" s="1" t="s">
        <v>94</v>
      </c>
      <c r="B96">
        <v>105487.19999999998</v>
      </c>
      <c r="C96">
        <v>130603.20000000001</v>
      </c>
      <c r="D96">
        <v>52509.599999999999</v>
      </c>
      <c r="E96">
        <v>232128</v>
      </c>
      <c r="F96">
        <v>192067.19999999998</v>
      </c>
      <c r="G96">
        <v>84608.105808248773</v>
      </c>
    </row>
    <row r="97" spans="1:7" x14ac:dyDescent="0.35">
      <c r="A97" s="1" t="s">
        <v>95</v>
      </c>
      <c r="B97">
        <v>21060</v>
      </c>
      <c r="C97">
        <v>29286.400000000009</v>
      </c>
      <c r="D97">
        <v>27143.999999999996</v>
      </c>
      <c r="E97">
        <v>592987.19999999995</v>
      </c>
      <c r="F97">
        <v>72321.600000000006</v>
      </c>
      <c r="G97">
        <v>114327.23731520001</v>
      </c>
    </row>
    <row r="98" spans="1:7" x14ac:dyDescent="0.35">
      <c r="A98" s="1" t="s">
        <v>96</v>
      </c>
      <c r="C98">
        <v>533228.80000000005</v>
      </c>
      <c r="D98">
        <v>9152</v>
      </c>
      <c r="E98">
        <v>735072</v>
      </c>
      <c r="F98">
        <v>143769.59999999998</v>
      </c>
      <c r="G98">
        <v>228870.1865216</v>
      </c>
    </row>
    <row r="99" spans="1:7" x14ac:dyDescent="0.35">
      <c r="A99" s="1" t="s">
        <v>97</v>
      </c>
      <c r="B99">
        <v>63460.799999999996</v>
      </c>
      <c r="C99">
        <v>67392</v>
      </c>
      <c r="D99">
        <v>28079.999999999996</v>
      </c>
      <c r="E99">
        <v>932880</v>
      </c>
      <c r="F99">
        <v>802516</v>
      </c>
      <c r="G99">
        <v>278024.07380800002</v>
      </c>
    </row>
    <row r="100" spans="1:7" x14ac:dyDescent="0.35">
      <c r="A100" s="1" t="s">
        <v>98</v>
      </c>
      <c r="B100">
        <v>152755.19999999998</v>
      </c>
      <c r="C100">
        <v>584064</v>
      </c>
      <c r="D100">
        <v>573281.28000000003</v>
      </c>
      <c r="E100">
        <v>562161.59999999986</v>
      </c>
      <c r="F100">
        <v>668304</v>
      </c>
      <c r="G100">
        <v>563633.45045280003</v>
      </c>
    </row>
    <row r="101" spans="1:7" x14ac:dyDescent="0.35">
      <c r="A101" s="1" t="s">
        <v>99</v>
      </c>
      <c r="B101">
        <v>459950.4</v>
      </c>
      <c r="C101">
        <v>186368</v>
      </c>
      <c r="D101">
        <v>107078.40000000001</v>
      </c>
      <c r="E101">
        <v>1335776</v>
      </c>
      <c r="F101">
        <v>267209.28000000003</v>
      </c>
      <c r="G101">
        <v>165380.89570839115</v>
      </c>
    </row>
    <row r="102" spans="1:7" x14ac:dyDescent="0.35">
      <c r="A102" s="1" t="s">
        <v>100</v>
      </c>
      <c r="B102">
        <v>78624</v>
      </c>
      <c r="C102">
        <v>220646.40000000002</v>
      </c>
      <c r="D102">
        <v>9266.4000000000087</v>
      </c>
      <c r="E102">
        <v>1410177.5999999999</v>
      </c>
      <c r="F102">
        <v>298041.11999999994</v>
      </c>
      <c r="G102">
        <v>245198.20802880003</v>
      </c>
    </row>
    <row r="103" spans="1:7" x14ac:dyDescent="0.35">
      <c r="A103" s="1" t="s">
        <v>101</v>
      </c>
      <c r="B103">
        <v>5110.5599999999995</v>
      </c>
      <c r="C103">
        <v>34944</v>
      </c>
      <c r="D103">
        <v>88957.440000000002</v>
      </c>
      <c r="E103">
        <v>210912</v>
      </c>
      <c r="F103">
        <v>380830.31999999995</v>
      </c>
      <c r="G103">
        <v>37584.484423662172</v>
      </c>
    </row>
    <row r="104" spans="1:7" x14ac:dyDescent="0.35">
      <c r="A104" s="1" t="s">
        <v>102</v>
      </c>
      <c r="B104">
        <v>204422.40000000002</v>
      </c>
      <c r="C104">
        <v>53913.600000000006</v>
      </c>
      <c r="D104">
        <v>28080.000000000004</v>
      </c>
      <c r="E104">
        <v>677040</v>
      </c>
      <c r="F104">
        <v>50244.479999999996</v>
      </c>
      <c r="G104">
        <v>254166.49623039999</v>
      </c>
    </row>
    <row r="105" spans="1:7" x14ac:dyDescent="0.35">
      <c r="A105" s="1" t="s">
        <v>103</v>
      </c>
      <c r="B105">
        <v>402948</v>
      </c>
      <c r="C105">
        <v>239616</v>
      </c>
      <c r="D105">
        <v>98279.999999999971</v>
      </c>
      <c r="E105">
        <v>2978976</v>
      </c>
      <c r="F105">
        <v>1064960</v>
      </c>
      <c r="G105">
        <v>646141.66115200007</v>
      </c>
    </row>
    <row r="106" spans="1:7" x14ac:dyDescent="0.35">
      <c r="A106" s="1" t="s">
        <v>104</v>
      </c>
      <c r="B106">
        <v>95550</v>
      </c>
      <c r="C106">
        <v>7030.3999999999942</v>
      </c>
      <c r="D106">
        <v>31636.799999999999</v>
      </c>
      <c r="E106">
        <v>64480</v>
      </c>
      <c r="F106">
        <v>183040</v>
      </c>
      <c r="G106">
        <v>63445.904116104488</v>
      </c>
    </row>
    <row r="107" spans="1:7" x14ac:dyDescent="0.35">
      <c r="A107" s="1" t="s">
        <v>105</v>
      </c>
      <c r="B107">
        <v>11306.88</v>
      </c>
      <c r="C107">
        <v>283920.00000000012</v>
      </c>
      <c r="D107">
        <v>140940.80000000002</v>
      </c>
      <c r="E107">
        <v>496454.39999999997</v>
      </c>
      <c r="F107">
        <v>266448</v>
      </c>
      <c r="G107">
        <v>231466.57715970889</v>
      </c>
    </row>
    <row r="108" spans="1:7" x14ac:dyDescent="0.35">
      <c r="A108" s="1" t="s">
        <v>106</v>
      </c>
      <c r="B108">
        <v>7918.5600000000013</v>
      </c>
      <c r="C108">
        <v>200345.60000000003</v>
      </c>
      <c r="D108">
        <v>19219.199999999997</v>
      </c>
      <c r="E108">
        <v>54080</v>
      </c>
      <c r="F108">
        <v>371124</v>
      </c>
      <c r="G108">
        <v>155200.67825599998</v>
      </c>
    </row>
    <row r="109" spans="1:7" x14ac:dyDescent="0.35">
      <c r="A109" s="1" t="s">
        <v>107</v>
      </c>
      <c r="C109">
        <v>227136</v>
      </c>
      <c r="D109">
        <v>160160.00000000006</v>
      </c>
      <c r="E109">
        <v>1561560</v>
      </c>
      <c r="F109">
        <v>1478786.4000000001</v>
      </c>
      <c r="G109">
        <v>172927.42598601745</v>
      </c>
    </row>
    <row r="110" spans="1:7" x14ac:dyDescent="0.35">
      <c r="A110" s="1" t="s">
        <v>108</v>
      </c>
      <c r="B110">
        <v>67392</v>
      </c>
      <c r="C110">
        <v>149760</v>
      </c>
      <c r="D110">
        <v>224640.00000000003</v>
      </c>
      <c r="E110">
        <v>2998320</v>
      </c>
      <c r="F110">
        <v>65089.439999999988</v>
      </c>
      <c r="G110">
        <v>243273.00273067487</v>
      </c>
    </row>
    <row r="111" spans="1:7" x14ac:dyDescent="0.35">
      <c r="A111" s="1" t="s">
        <v>109</v>
      </c>
      <c r="B111">
        <v>122915.51999999997</v>
      </c>
      <c r="C111">
        <v>698880</v>
      </c>
      <c r="D111">
        <v>339299.99999999994</v>
      </c>
      <c r="E111">
        <v>1277640</v>
      </c>
      <c r="F111">
        <v>113568.00000000001</v>
      </c>
      <c r="G111">
        <v>323811.00150698749</v>
      </c>
    </row>
    <row r="112" spans="1:7" x14ac:dyDescent="0.35">
      <c r="A112" s="1" t="s">
        <v>110</v>
      </c>
      <c r="B112">
        <v>214643.52</v>
      </c>
      <c r="C112">
        <v>963705.59999999986</v>
      </c>
      <c r="D112">
        <v>679536.00000000012</v>
      </c>
      <c r="E112">
        <v>11107324.799999999</v>
      </c>
      <c r="F112">
        <v>786240.00000000012</v>
      </c>
      <c r="G112">
        <v>511855.85561760003</v>
      </c>
    </row>
    <row r="113" spans="1:7" x14ac:dyDescent="0.35">
      <c r="A113" s="1" t="s">
        <v>111</v>
      </c>
      <c r="B113">
        <v>49795.199999999997</v>
      </c>
      <c r="C113">
        <v>98425.599999999977</v>
      </c>
      <c r="D113">
        <v>38937.599999999999</v>
      </c>
      <c r="E113">
        <v>1682928</v>
      </c>
      <c r="F113">
        <v>452608</v>
      </c>
      <c r="G113">
        <v>239016.93112960004</v>
      </c>
    </row>
    <row r="114" spans="1:7" x14ac:dyDescent="0.35">
      <c r="A114" s="1" t="s">
        <v>112</v>
      </c>
      <c r="B114">
        <v>3912.4799999999996</v>
      </c>
      <c r="C114">
        <v>27456.000000000007</v>
      </c>
      <c r="D114">
        <v>54756</v>
      </c>
      <c r="E114">
        <v>748612.8</v>
      </c>
      <c r="F114">
        <v>37112.399999999994</v>
      </c>
      <c r="G114">
        <v>29056.454472089768</v>
      </c>
    </row>
    <row r="115" spans="1:7" x14ac:dyDescent="0.35">
      <c r="A115" s="1" t="s">
        <v>113</v>
      </c>
      <c r="B115">
        <v>67392</v>
      </c>
      <c r="C115">
        <v>161075.20000000004</v>
      </c>
      <c r="D115">
        <v>153204.48000000001</v>
      </c>
      <c r="E115">
        <v>2530944</v>
      </c>
      <c r="F115">
        <v>1192164.4799999997</v>
      </c>
      <c r="G115">
        <v>128755.41041656063</v>
      </c>
    </row>
    <row r="116" spans="1:7" x14ac:dyDescent="0.35">
      <c r="A116" s="1" t="s">
        <v>114</v>
      </c>
      <c r="B116">
        <v>117935.99999999999</v>
      </c>
      <c r="C116">
        <v>162240</v>
      </c>
      <c r="D116">
        <v>189446.39999999999</v>
      </c>
      <c r="E116">
        <v>4642560</v>
      </c>
      <c r="F116">
        <v>666120</v>
      </c>
      <c r="G116">
        <v>259910.59601628542</v>
      </c>
    </row>
    <row r="117" spans="1:7" x14ac:dyDescent="0.35">
      <c r="A117" s="1" t="s">
        <v>115</v>
      </c>
      <c r="B117">
        <v>405699.84000000003</v>
      </c>
      <c r="C117">
        <v>956134.40000000002</v>
      </c>
      <c r="D117">
        <v>61776</v>
      </c>
      <c r="E117">
        <v>6770400</v>
      </c>
      <c r="F117">
        <v>50244.479999999996</v>
      </c>
      <c r="G117">
        <v>100647.91301386827</v>
      </c>
    </row>
    <row r="118" spans="1:7" x14ac:dyDescent="0.35">
      <c r="A118" s="1" t="s">
        <v>116</v>
      </c>
      <c r="B118">
        <v>87360</v>
      </c>
      <c r="C118">
        <v>372736.00000000012</v>
      </c>
      <c r="D118">
        <v>44928</v>
      </c>
      <c r="E118">
        <v>778752</v>
      </c>
      <c r="F118">
        <v>104832.00000000003</v>
      </c>
      <c r="G118">
        <v>231146.3802752</v>
      </c>
    </row>
    <row r="119" spans="1:7" x14ac:dyDescent="0.35">
      <c r="A119" s="1" t="s">
        <v>117</v>
      </c>
      <c r="C119">
        <v>78624</v>
      </c>
      <c r="D119">
        <v>247104.00000000003</v>
      </c>
      <c r="E119">
        <v>861775.20000000007</v>
      </c>
      <c r="F119">
        <v>275773.67999999993</v>
      </c>
      <c r="G119">
        <v>193341.71719200001</v>
      </c>
    </row>
    <row r="120" spans="1:7" x14ac:dyDescent="0.35">
      <c r="A120" s="1" t="s">
        <v>118</v>
      </c>
      <c r="B120">
        <v>164520.72</v>
      </c>
      <c r="C120">
        <v>54756</v>
      </c>
      <c r="D120">
        <v>52509.600000000006</v>
      </c>
      <c r="E120">
        <v>4818528</v>
      </c>
      <c r="F120">
        <v>91728</v>
      </c>
      <c r="G120">
        <v>269147.51329990046</v>
      </c>
    </row>
    <row r="121" spans="1:7" x14ac:dyDescent="0.35">
      <c r="A121" s="1" t="s">
        <v>119</v>
      </c>
      <c r="B121">
        <v>200928</v>
      </c>
      <c r="C121">
        <v>86528</v>
      </c>
      <c r="D121">
        <v>93599.999999999985</v>
      </c>
      <c r="E121">
        <v>1508832</v>
      </c>
      <c r="F121">
        <v>222040</v>
      </c>
      <c r="G121">
        <v>316033.29305600002</v>
      </c>
    </row>
    <row r="122" spans="1:7" x14ac:dyDescent="0.35">
      <c r="A122" s="1" t="s">
        <v>120</v>
      </c>
      <c r="B122">
        <v>64022.399999999994</v>
      </c>
      <c r="C122">
        <v>590553.60000000009</v>
      </c>
      <c r="D122">
        <v>19768.32</v>
      </c>
      <c r="E122">
        <v>1617158.4</v>
      </c>
      <c r="F122">
        <v>380639.99999999994</v>
      </c>
      <c r="G122">
        <v>82087.489361420507</v>
      </c>
    </row>
    <row r="123" spans="1:7" x14ac:dyDescent="0.35">
      <c r="A123" s="1" t="s">
        <v>121</v>
      </c>
      <c r="B123">
        <v>144471.59999999998</v>
      </c>
      <c r="C123">
        <v>362419.19999999995</v>
      </c>
      <c r="D123">
        <v>29062.799999999996</v>
      </c>
      <c r="E123">
        <v>14493492</v>
      </c>
      <c r="F123">
        <v>822182.39999999979</v>
      </c>
      <c r="G123">
        <v>626331.34549440001</v>
      </c>
    </row>
    <row r="124" spans="1:7" x14ac:dyDescent="0.35">
      <c r="A124" s="1" t="s">
        <v>122</v>
      </c>
      <c r="C124">
        <v>202342.40000000002</v>
      </c>
      <c r="D124">
        <v>322150.40000000002</v>
      </c>
      <c r="E124">
        <v>1617158.4</v>
      </c>
      <c r="F124">
        <v>1027728</v>
      </c>
      <c r="G124">
        <v>257448.06880000001</v>
      </c>
    </row>
    <row r="125" spans="1:7" x14ac:dyDescent="0.35">
      <c r="A125" s="1" t="s">
        <v>123</v>
      </c>
      <c r="B125">
        <v>186950.39999999997</v>
      </c>
      <c r="C125">
        <v>415334.40000000002</v>
      </c>
      <c r="D125">
        <v>333864.95999999996</v>
      </c>
      <c r="E125">
        <v>2044224</v>
      </c>
      <c r="F125">
        <v>1447680</v>
      </c>
      <c r="G125">
        <v>241343.36573768232</v>
      </c>
    </row>
    <row r="126" spans="1:7" x14ac:dyDescent="0.35">
      <c r="A126" s="1" t="s">
        <v>124</v>
      </c>
      <c r="B126">
        <v>141373.44</v>
      </c>
      <c r="C126">
        <v>404518.40000000008</v>
      </c>
      <c r="D126">
        <v>487618.56</v>
      </c>
      <c r="E126">
        <v>1765171.2</v>
      </c>
      <c r="F126">
        <v>164436.47999999998</v>
      </c>
      <c r="G126">
        <v>145078.42945425678</v>
      </c>
    </row>
    <row r="127" spans="1:7" x14ac:dyDescent="0.35">
      <c r="A127" s="1" t="s">
        <v>125</v>
      </c>
      <c r="B127">
        <v>10483.199999999984</v>
      </c>
      <c r="C127">
        <v>45760</v>
      </c>
      <c r="D127">
        <v>720719.99999999988</v>
      </c>
      <c r="E127">
        <v>3853200</v>
      </c>
      <c r="F127">
        <v>602680</v>
      </c>
      <c r="G127">
        <v>298318.70348800003</v>
      </c>
    </row>
    <row r="128" spans="1:7" x14ac:dyDescent="0.35">
      <c r="A128" s="1" t="s">
        <v>126</v>
      </c>
      <c r="B128">
        <v>16380</v>
      </c>
      <c r="C128">
        <v>1333072</v>
      </c>
      <c r="D128">
        <v>91291.199999999983</v>
      </c>
      <c r="E128">
        <v>202800</v>
      </c>
      <c r="F128">
        <v>1004640.0000000001</v>
      </c>
      <c r="G128">
        <v>419636.44465600001</v>
      </c>
    </row>
    <row r="129" spans="1:7" x14ac:dyDescent="0.35">
      <c r="A129" s="1" t="s">
        <v>127</v>
      </c>
      <c r="B129">
        <v>24897.599999999999</v>
      </c>
      <c r="C129">
        <v>369096</v>
      </c>
      <c r="D129">
        <v>44616</v>
      </c>
      <c r="E129">
        <v>273780</v>
      </c>
      <c r="F129">
        <v>346382.39999999997</v>
      </c>
      <c r="G129">
        <v>196775.72345600001</v>
      </c>
    </row>
    <row r="130" spans="1:7" x14ac:dyDescent="0.35">
      <c r="A130" s="1" t="s">
        <v>128</v>
      </c>
      <c r="B130">
        <v>65520</v>
      </c>
      <c r="C130">
        <v>599040</v>
      </c>
      <c r="D130">
        <v>295152</v>
      </c>
      <c r="E130">
        <v>7795632</v>
      </c>
      <c r="F130">
        <v>1941264</v>
      </c>
      <c r="G130">
        <v>755226.13753599999</v>
      </c>
    </row>
    <row r="131" spans="1:7" x14ac:dyDescent="0.35">
      <c r="A131" s="1" t="s">
        <v>129</v>
      </c>
      <c r="B131">
        <v>176436</v>
      </c>
      <c r="C131">
        <v>121305.59999999998</v>
      </c>
      <c r="D131">
        <v>6589.4400000000005</v>
      </c>
      <c r="E131">
        <v>2187806.4</v>
      </c>
      <c r="F131">
        <v>74224.800000000047</v>
      </c>
      <c r="G131">
        <v>158460.35972050496</v>
      </c>
    </row>
    <row r="132" spans="1:7" x14ac:dyDescent="0.35">
      <c r="A132" s="1" t="s">
        <v>130</v>
      </c>
      <c r="B132">
        <v>56019.600000000006</v>
      </c>
      <c r="C132">
        <v>118809.59999999998</v>
      </c>
      <c r="D132">
        <v>290690.40000000002</v>
      </c>
      <c r="E132">
        <v>1611355.1999999997</v>
      </c>
      <c r="F132">
        <v>421876</v>
      </c>
      <c r="G132">
        <v>133641.52984559484</v>
      </c>
    </row>
    <row r="133" spans="1:7" x14ac:dyDescent="0.35">
      <c r="A133" s="1" t="s">
        <v>131</v>
      </c>
      <c r="B133">
        <v>45427.200000000004</v>
      </c>
      <c r="C133">
        <v>44928.000000000015</v>
      </c>
      <c r="D133">
        <v>48750</v>
      </c>
      <c r="E133">
        <v>1063920</v>
      </c>
      <c r="F133">
        <v>4377.3599999999997</v>
      </c>
      <c r="G133">
        <v>70528.266452800002</v>
      </c>
    </row>
    <row r="134" spans="1:7" x14ac:dyDescent="0.35">
      <c r="A134" s="1" t="s">
        <v>132</v>
      </c>
      <c r="B134">
        <v>766584</v>
      </c>
      <c r="C134">
        <v>74880</v>
      </c>
      <c r="D134">
        <v>56159.999999999993</v>
      </c>
      <c r="E134">
        <v>3078503.9999999995</v>
      </c>
      <c r="F134">
        <v>561600</v>
      </c>
      <c r="G134">
        <v>126970.56828338173</v>
      </c>
    </row>
    <row r="135" spans="1:7" x14ac:dyDescent="0.35">
      <c r="A135" s="1" t="s">
        <v>133</v>
      </c>
      <c r="B135">
        <v>524160</v>
      </c>
      <c r="C135">
        <v>719264</v>
      </c>
      <c r="D135">
        <v>288287.99999999994</v>
      </c>
      <c r="E135">
        <v>6543680</v>
      </c>
      <c r="F135">
        <v>586185.59999999986</v>
      </c>
      <c r="G135">
        <v>105139.41342257004</v>
      </c>
    </row>
    <row r="136" spans="1:7" x14ac:dyDescent="0.35">
      <c r="A136" s="1" t="s">
        <v>134</v>
      </c>
      <c r="B136">
        <v>114987.59999999998</v>
      </c>
      <c r="C136">
        <v>399110.40000000002</v>
      </c>
      <c r="D136">
        <v>88957.440000000017</v>
      </c>
      <c r="E136">
        <v>870480</v>
      </c>
      <c r="F136">
        <v>539557.19999999995</v>
      </c>
      <c r="G136">
        <v>49963.149303090817</v>
      </c>
    </row>
    <row r="137" spans="1:7" x14ac:dyDescent="0.35">
      <c r="A137" s="1" t="s">
        <v>135</v>
      </c>
      <c r="B137">
        <v>8098.2720000000008</v>
      </c>
      <c r="C137">
        <v>16307.200000000012</v>
      </c>
      <c r="D137">
        <v>72987.200000000012</v>
      </c>
      <c r="E137">
        <v>212940</v>
      </c>
      <c r="F137">
        <v>221312</v>
      </c>
      <c r="G137">
        <v>36323.484957983106</v>
      </c>
    </row>
    <row r="138" spans="1:7" x14ac:dyDescent="0.35">
      <c r="A138" s="1" t="s">
        <v>136</v>
      </c>
      <c r="B138">
        <v>570024</v>
      </c>
      <c r="C138">
        <v>174137.60000000003</v>
      </c>
      <c r="D138">
        <v>192628.8</v>
      </c>
      <c r="E138">
        <v>587714.4</v>
      </c>
      <c r="F138">
        <v>1110200</v>
      </c>
      <c r="G138">
        <v>316391.72528167744</v>
      </c>
    </row>
    <row r="139" spans="1:7" x14ac:dyDescent="0.35">
      <c r="A139" s="1" t="s">
        <v>137</v>
      </c>
      <c r="B139">
        <v>38750.400000000001</v>
      </c>
      <c r="C139">
        <v>165984</v>
      </c>
      <c r="D139">
        <v>23400</v>
      </c>
      <c r="E139">
        <v>1262196</v>
      </c>
      <c r="F139">
        <v>213539.03999999998</v>
      </c>
      <c r="G139">
        <v>224688.3723552</v>
      </c>
    </row>
    <row r="140" spans="1:7" x14ac:dyDescent="0.35">
      <c r="A140" s="1" t="s">
        <v>138</v>
      </c>
      <c r="B140">
        <v>67167.359999999986</v>
      </c>
      <c r="C140">
        <v>272563.20000000001</v>
      </c>
      <c r="D140">
        <v>107078.40000000001</v>
      </c>
      <c r="E140">
        <v>957528</v>
      </c>
      <c r="F140">
        <v>239803.19999999998</v>
      </c>
      <c r="G140">
        <v>200192.30400000003</v>
      </c>
    </row>
    <row r="141" spans="1:7" x14ac:dyDescent="0.35">
      <c r="A141" s="1" t="s">
        <v>139</v>
      </c>
      <c r="B141">
        <v>19079.423999999999</v>
      </c>
      <c r="C141">
        <v>119808.00000000003</v>
      </c>
      <c r="D141">
        <v>103783.67999999999</v>
      </c>
      <c r="E141">
        <v>2212953.6</v>
      </c>
      <c r="F141">
        <v>30451.199999999983</v>
      </c>
      <c r="G141">
        <v>189996.99297499005</v>
      </c>
    </row>
    <row r="142" spans="1:7" x14ac:dyDescent="0.35">
      <c r="A142" s="1" t="s">
        <v>140</v>
      </c>
      <c r="B142">
        <v>2096.6399999999926</v>
      </c>
      <c r="C142">
        <v>79206.400000000009</v>
      </c>
      <c r="D142">
        <v>11440</v>
      </c>
      <c r="E142">
        <v>66518.399999999994</v>
      </c>
      <c r="F142">
        <v>86860.799999999988</v>
      </c>
      <c r="G142">
        <v>159756.2762432</v>
      </c>
    </row>
    <row r="143" spans="1:7" x14ac:dyDescent="0.35">
      <c r="A143" s="1" t="s">
        <v>141</v>
      </c>
      <c r="B143">
        <v>389376</v>
      </c>
      <c r="C143">
        <v>47923.200000000012</v>
      </c>
      <c r="D143">
        <v>187200</v>
      </c>
      <c r="E143">
        <v>778752</v>
      </c>
      <c r="F143">
        <v>454272</v>
      </c>
      <c r="G143">
        <v>71830.700637237242</v>
      </c>
    </row>
    <row r="144" spans="1:7" x14ac:dyDescent="0.35">
      <c r="A144" s="1" t="s">
        <v>142</v>
      </c>
      <c r="B144">
        <v>775756.80000000005</v>
      </c>
      <c r="C144">
        <v>369907.20000000001</v>
      </c>
      <c r="D144">
        <v>86860.799999999988</v>
      </c>
      <c r="E144">
        <v>7149542.3999999985</v>
      </c>
      <c r="F144">
        <v>131788.80000000002</v>
      </c>
      <c r="G144">
        <v>123498.73256020481</v>
      </c>
    </row>
    <row r="145" spans="1:7" x14ac:dyDescent="0.35">
      <c r="A145" s="1" t="s">
        <v>143</v>
      </c>
      <c r="B145">
        <v>42981.119999999995</v>
      </c>
      <c r="C145">
        <v>197683.20000000007</v>
      </c>
      <c r="D145">
        <v>25168</v>
      </c>
      <c r="E145">
        <v>270816</v>
      </c>
      <c r="F145">
        <v>91353.599999999991</v>
      </c>
      <c r="G145">
        <v>168379.12249567709</v>
      </c>
    </row>
    <row r="146" spans="1:7" x14ac:dyDescent="0.35">
      <c r="A146" s="1" t="s">
        <v>144</v>
      </c>
      <c r="B146">
        <v>10483.199999999999</v>
      </c>
      <c r="C146">
        <v>53747.200000000012</v>
      </c>
      <c r="D146">
        <v>66830.399999999994</v>
      </c>
      <c r="E146">
        <v>1671321.5999999999</v>
      </c>
      <c r="F146">
        <v>380640</v>
      </c>
      <c r="G146">
        <v>82326.445254060745</v>
      </c>
    </row>
    <row r="147" spans="1:7" x14ac:dyDescent="0.35">
      <c r="A147" s="1" t="s">
        <v>145</v>
      </c>
      <c r="B147">
        <v>146065.91999999998</v>
      </c>
      <c r="C147">
        <v>80870.400000000023</v>
      </c>
      <c r="D147">
        <v>267696</v>
      </c>
      <c r="E147">
        <v>2725632</v>
      </c>
      <c r="F147">
        <v>275558.39999999997</v>
      </c>
      <c r="G147">
        <v>144737.33647360001</v>
      </c>
    </row>
    <row r="148" spans="1:7" x14ac:dyDescent="0.35">
      <c r="A148" s="1" t="s">
        <v>146</v>
      </c>
      <c r="B148">
        <v>140400</v>
      </c>
      <c r="C148">
        <v>146432.00000000006</v>
      </c>
      <c r="D148">
        <v>26906.879999999997</v>
      </c>
      <c r="E148">
        <v>1557504</v>
      </c>
      <c r="F148">
        <v>2159497.6</v>
      </c>
      <c r="G148">
        <v>145404.64923165287</v>
      </c>
    </row>
    <row r="149" spans="1:7" x14ac:dyDescent="0.35">
      <c r="A149" s="1" t="s">
        <v>147</v>
      </c>
      <c r="B149">
        <v>63788.399999999987</v>
      </c>
      <c r="C149">
        <v>179712.00000000006</v>
      </c>
      <c r="D149">
        <v>94910.399999999994</v>
      </c>
      <c r="E149">
        <v>263640</v>
      </c>
      <c r="F149">
        <v>228384</v>
      </c>
      <c r="G149">
        <v>88833.778550400006</v>
      </c>
    </row>
    <row r="150" spans="1:7" x14ac:dyDescent="0.35">
      <c r="A150" s="1" t="s">
        <v>148</v>
      </c>
      <c r="B150">
        <v>9277.6319999999996</v>
      </c>
      <c r="C150">
        <v>126464</v>
      </c>
      <c r="D150">
        <v>32760</v>
      </c>
      <c r="E150">
        <v>475904</v>
      </c>
      <c r="F150">
        <v>299520</v>
      </c>
      <c r="G150">
        <v>268988.18227840005</v>
      </c>
    </row>
    <row r="151" spans="1:7" x14ac:dyDescent="0.35">
      <c r="A151" s="1" t="s">
        <v>149</v>
      </c>
      <c r="B151">
        <v>124138.55999999997</v>
      </c>
      <c r="C151">
        <v>69305.600000000006</v>
      </c>
      <c r="D151">
        <v>254545.19999999998</v>
      </c>
      <c r="E151">
        <v>7289464</v>
      </c>
      <c r="F151">
        <v>2124922.7999999998</v>
      </c>
      <c r="G151">
        <v>421269.51805119996</v>
      </c>
    </row>
    <row r="152" spans="1:7" x14ac:dyDescent="0.35">
      <c r="A152" s="1" t="s">
        <v>150</v>
      </c>
      <c r="B152">
        <v>256838.39999999997</v>
      </c>
      <c r="C152">
        <v>666265.60000000009</v>
      </c>
      <c r="D152">
        <v>404352.00000000006</v>
      </c>
      <c r="E152">
        <v>4410432</v>
      </c>
      <c r="F152">
        <v>63947.519999999997</v>
      </c>
      <c r="G152">
        <v>252220.76773396938</v>
      </c>
    </row>
    <row r="153" spans="1:7" x14ac:dyDescent="0.35">
      <c r="A153" s="1" t="s">
        <v>151</v>
      </c>
      <c r="B153">
        <v>85612.800000000003</v>
      </c>
      <c r="C153">
        <v>69888</v>
      </c>
      <c r="D153">
        <v>294371.99999999994</v>
      </c>
      <c r="E153">
        <v>4932720</v>
      </c>
      <c r="F153">
        <v>2372656</v>
      </c>
      <c r="G153">
        <v>798568.91795200005</v>
      </c>
    </row>
    <row r="154" spans="1:7" x14ac:dyDescent="0.35">
      <c r="A154" s="1" t="s">
        <v>152</v>
      </c>
      <c r="B154">
        <v>3319.6799999999957</v>
      </c>
      <c r="C154">
        <v>120806.40000000002</v>
      </c>
      <c r="D154">
        <v>18532.800000000003</v>
      </c>
      <c r="E154">
        <v>2044224</v>
      </c>
      <c r="F154">
        <v>97843.199999999997</v>
      </c>
      <c r="G154">
        <v>172501.55846271446</v>
      </c>
    </row>
    <row r="155" spans="1:7" x14ac:dyDescent="0.35">
      <c r="A155" s="1" t="s">
        <v>153</v>
      </c>
      <c r="B155">
        <v>38376</v>
      </c>
      <c r="C155">
        <v>536640</v>
      </c>
      <c r="D155">
        <v>384384</v>
      </c>
      <c r="E155">
        <v>738191.99999999988</v>
      </c>
      <c r="F155">
        <v>249600.00000000003</v>
      </c>
      <c r="G155">
        <v>676720.13468800008</v>
      </c>
    </row>
    <row r="156" spans="1:7" x14ac:dyDescent="0.35">
      <c r="A156" s="1" t="s">
        <v>154</v>
      </c>
      <c r="B156">
        <v>20592</v>
      </c>
      <c r="C156">
        <v>8652.8000000000466</v>
      </c>
      <c r="D156">
        <v>32853.599999999999</v>
      </c>
      <c r="E156">
        <v>93496</v>
      </c>
      <c r="F156">
        <v>125798.40000000002</v>
      </c>
      <c r="G156">
        <v>61722.930981709535</v>
      </c>
    </row>
    <row r="157" spans="1:7" x14ac:dyDescent="0.35">
      <c r="A157" s="1" t="s">
        <v>155</v>
      </c>
      <c r="B157">
        <v>49140</v>
      </c>
      <c r="C157">
        <v>47923.200000000012</v>
      </c>
      <c r="D157">
        <v>53071.19999999999</v>
      </c>
      <c r="E157">
        <v>2170396.7999999998</v>
      </c>
      <c r="F157">
        <v>202176</v>
      </c>
      <c r="G157">
        <v>122803.03835443166</v>
      </c>
    </row>
    <row r="158" spans="1:7" x14ac:dyDescent="0.35">
      <c r="A158" s="1" t="s">
        <v>156</v>
      </c>
      <c r="B158">
        <v>252720</v>
      </c>
      <c r="C158">
        <v>340704</v>
      </c>
      <c r="D158">
        <v>804232</v>
      </c>
      <c r="E158">
        <v>2839200</v>
      </c>
      <c r="F158">
        <v>2049112</v>
      </c>
      <c r="G158">
        <v>240963.21703707022</v>
      </c>
    </row>
    <row r="159" spans="1:7" x14ac:dyDescent="0.35">
      <c r="A159" s="1" t="s">
        <v>157</v>
      </c>
      <c r="B159">
        <v>27597.024000000001</v>
      </c>
      <c r="C159">
        <v>279052.79999999999</v>
      </c>
      <c r="D159">
        <v>5559.84</v>
      </c>
      <c r="E159">
        <v>311500.79999999999</v>
      </c>
      <c r="F159">
        <v>194688</v>
      </c>
      <c r="G159">
        <v>105943.67284800002</v>
      </c>
    </row>
    <row r="160" spans="1:7" x14ac:dyDescent="0.35">
      <c r="A160" s="1" t="s">
        <v>158</v>
      </c>
      <c r="C160">
        <v>275808.00000000006</v>
      </c>
      <c r="D160">
        <v>111383.99999999999</v>
      </c>
      <c r="E160">
        <v>2695264</v>
      </c>
      <c r="F160">
        <v>60902.399999999994</v>
      </c>
      <c r="G160">
        <v>288468.57070719998</v>
      </c>
    </row>
    <row r="161" spans="1:7" x14ac:dyDescent="0.35">
      <c r="A161" s="1" t="s">
        <v>159</v>
      </c>
      <c r="B161">
        <v>29062.800000000003</v>
      </c>
      <c r="C161">
        <v>503193.59999999986</v>
      </c>
      <c r="D161">
        <v>44928</v>
      </c>
      <c r="E161">
        <v>2117232</v>
      </c>
      <c r="F161">
        <v>462477.6</v>
      </c>
      <c r="G161">
        <v>205528.15944592582</v>
      </c>
    </row>
    <row r="162" spans="1:7" x14ac:dyDescent="0.35">
      <c r="A162" s="1" t="s">
        <v>160</v>
      </c>
      <c r="B162">
        <v>9828</v>
      </c>
      <c r="C162">
        <v>104832</v>
      </c>
      <c r="D162">
        <v>281424.00000000006</v>
      </c>
      <c r="E162">
        <v>205233.59999999998</v>
      </c>
      <c r="F162">
        <v>154539.83999999997</v>
      </c>
      <c r="G162">
        <v>81340.093577599997</v>
      </c>
    </row>
    <row r="163" spans="1:7" x14ac:dyDescent="0.35">
      <c r="A163" s="1" t="s">
        <v>161</v>
      </c>
      <c r="B163">
        <v>28828.800000000003</v>
      </c>
      <c r="C163">
        <v>68952</v>
      </c>
      <c r="D163">
        <v>71136.000000000015</v>
      </c>
      <c r="E163">
        <v>3430336</v>
      </c>
      <c r="F163">
        <v>87547.199999999997</v>
      </c>
      <c r="G163">
        <v>91648.184201600001</v>
      </c>
    </row>
    <row r="164" spans="1:7" x14ac:dyDescent="0.35">
      <c r="A164" s="1" t="s">
        <v>162</v>
      </c>
      <c r="B164">
        <v>181209.59999999998</v>
      </c>
      <c r="C164">
        <v>118976.00000000003</v>
      </c>
      <c r="D164">
        <v>467301.12</v>
      </c>
      <c r="E164">
        <v>324979.19999999995</v>
      </c>
      <c r="F164">
        <v>494831.99999999994</v>
      </c>
      <c r="G164">
        <v>645681.98339840001</v>
      </c>
    </row>
    <row r="165" spans="1:7" x14ac:dyDescent="0.35">
      <c r="A165" s="1" t="s">
        <v>163</v>
      </c>
      <c r="B165">
        <v>43754.256000000001</v>
      </c>
      <c r="C165">
        <v>68140.800000000003</v>
      </c>
      <c r="D165">
        <v>90417.599999999991</v>
      </c>
      <c r="E165">
        <v>510681.59999999998</v>
      </c>
      <c r="F165">
        <v>758159.99999999977</v>
      </c>
      <c r="G165">
        <v>188839.45591680001</v>
      </c>
    </row>
    <row r="166" spans="1:7" x14ac:dyDescent="0.35">
      <c r="A166" s="1" t="s">
        <v>164</v>
      </c>
      <c r="B166">
        <v>75504</v>
      </c>
      <c r="C166">
        <v>103833.60000000001</v>
      </c>
      <c r="D166">
        <v>35006.400000000001</v>
      </c>
      <c r="E166">
        <v>36753.599999999999</v>
      </c>
      <c r="F166">
        <v>39967.199999999997</v>
      </c>
      <c r="G166">
        <v>26686.961980135442</v>
      </c>
    </row>
    <row r="167" spans="1:7" x14ac:dyDescent="0.35">
      <c r="A167" s="1" t="s">
        <v>165</v>
      </c>
      <c r="B167">
        <v>5690.8799999999983</v>
      </c>
      <c r="C167">
        <v>60403.200000000012</v>
      </c>
      <c r="D167">
        <v>67953.599999999991</v>
      </c>
      <c r="E167">
        <v>100588.8</v>
      </c>
      <c r="F167">
        <v>104866.31999999999</v>
      </c>
      <c r="G167">
        <v>30016.364045712609</v>
      </c>
    </row>
    <row r="168" spans="1:7" x14ac:dyDescent="0.35">
      <c r="A168" s="1" t="s">
        <v>166</v>
      </c>
      <c r="B168">
        <v>47436.480000000003</v>
      </c>
      <c r="C168">
        <v>16224</v>
      </c>
      <c r="D168">
        <v>24336</v>
      </c>
      <c r="E168">
        <v>894660</v>
      </c>
      <c r="F168">
        <v>111654.39999999999</v>
      </c>
      <c r="G168">
        <v>54265.895070400002</v>
      </c>
    </row>
    <row r="169" spans="1:7" x14ac:dyDescent="0.35">
      <c r="A169" s="1" t="s">
        <v>167</v>
      </c>
      <c r="B169">
        <v>10857.599999999999</v>
      </c>
      <c r="C169">
        <v>31116.80000000001</v>
      </c>
      <c r="D169">
        <v>18304</v>
      </c>
      <c r="E169">
        <v>365851.19999999995</v>
      </c>
      <c r="F169">
        <v>114191.99999999999</v>
      </c>
      <c r="G169">
        <v>89832.002124799998</v>
      </c>
    </row>
    <row r="170" spans="1:7" x14ac:dyDescent="0.35">
      <c r="A170" s="1" t="s">
        <v>168</v>
      </c>
      <c r="B170">
        <v>16248.96</v>
      </c>
      <c r="C170">
        <v>25292.800000000003</v>
      </c>
      <c r="D170">
        <v>12812.800000000001</v>
      </c>
      <c r="E170">
        <v>89232</v>
      </c>
      <c r="F170">
        <v>94348.800000000003</v>
      </c>
      <c r="G170">
        <v>117054.6885248</v>
      </c>
    </row>
    <row r="171" spans="1:7" x14ac:dyDescent="0.35">
      <c r="A171" s="1" t="s">
        <v>169</v>
      </c>
      <c r="B171">
        <v>334414.08000000002</v>
      </c>
      <c r="C171">
        <v>219648</v>
      </c>
      <c r="D171">
        <v>62599.680000000008</v>
      </c>
      <c r="E171">
        <v>283920</v>
      </c>
      <c r="F171">
        <v>335462.39999999997</v>
      </c>
      <c r="G171">
        <v>233112.89264640003</v>
      </c>
    </row>
    <row r="172" spans="1:7" x14ac:dyDescent="0.35">
      <c r="A172" s="1" t="s">
        <v>170</v>
      </c>
      <c r="B172">
        <v>226512.00000000006</v>
      </c>
      <c r="C172">
        <v>467251.20000000007</v>
      </c>
      <c r="D172">
        <v>16848</v>
      </c>
      <c r="E172">
        <v>1624896</v>
      </c>
      <c r="F172">
        <v>389375.99999999988</v>
      </c>
      <c r="G172">
        <v>278404.78845093772</v>
      </c>
    </row>
    <row r="173" spans="1:7" x14ac:dyDescent="0.35">
      <c r="A173" s="1" t="s">
        <v>171</v>
      </c>
      <c r="B173">
        <v>12776.4</v>
      </c>
      <c r="C173">
        <v>21964.799999999988</v>
      </c>
      <c r="D173">
        <v>17846.400000000001</v>
      </c>
      <c r="E173">
        <v>488072</v>
      </c>
      <c r="F173">
        <v>26962</v>
      </c>
      <c r="G173">
        <v>54940.401068800013</v>
      </c>
    </row>
    <row r="174" spans="1:7" x14ac:dyDescent="0.35">
      <c r="A174" s="1" t="s">
        <v>172</v>
      </c>
      <c r="B174">
        <v>728364</v>
      </c>
      <c r="C174">
        <v>54912</v>
      </c>
      <c r="D174">
        <v>38219.999999999993</v>
      </c>
      <c r="E174">
        <v>644800</v>
      </c>
      <c r="F174">
        <v>441542.39999999997</v>
      </c>
      <c r="G174">
        <v>448378.30965419934</v>
      </c>
    </row>
    <row r="175" spans="1:7" x14ac:dyDescent="0.35">
      <c r="A175" s="1" t="s">
        <v>173</v>
      </c>
      <c r="B175">
        <v>122522.40000000002</v>
      </c>
      <c r="C175">
        <v>82742.400000000009</v>
      </c>
      <c r="D175">
        <v>47819.200000000004</v>
      </c>
      <c r="E175">
        <v>567840</v>
      </c>
      <c r="F175">
        <v>85263.359999999986</v>
      </c>
      <c r="G175">
        <v>33005.040560142093</v>
      </c>
    </row>
    <row r="176" spans="1:7" x14ac:dyDescent="0.35">
      <c r="A176" s="1" t="s">
        <v>174</v>
      </c>
      <c r="B176">
        <v>27518.399999999998</v>
      </c>
      <c r="C176">
        <v>243443.19999999995</v>
      </c>
      <c r="D176">
        <v>181818</v>
      </c>
      <c r="E176">
        <v>1632540</v>
      </c>
      <c r="F176">
        <v>186513.59999999998</v>
      </c>
      <c r="G176">
        <v>82470.414699974135</v>
      </c>
    </row>
    <row r="177" spans="1:7" x14ac:dyDescent="0.35">
      <c r="A177" s="1" t="s">
        <v>175</v>
      </c>
      <c r="B177">
        <v>15100.799999999994</v>
      </c>
      <c r="C177">
        <v>97344</v>
      </c>
      <c r="D177">
        <v>83466.239999999991</v>
      </c>
      <c r="E177">
        <v>71385.599999999991</v>
      </c>
      <c r="F177">
        <v>386048</v>
      </c>
      <c r="G177">
        <v>176271.57907840001</v>
      </c>
    </row>
    <row r="178" spans="1:7" x14ac:dyDescent="0.35">
      <c r="A178" s="1" t="s">
        <v>176</v>
      </c>
      <c r="B178">
        <v>78624</v>
      </c>
      <c r="C178">
        <v>77875.200000000012</v>
      </c>
      <c r="D178">
        <v>84240</v>
      </c>
      <c r="E178">
        <v>2036923.2</v>
      </c>
      <c r="F178">
        <v>883084.79999999993</v>
      </c>
      <c r="G178">
        <v>325787.28000000003</v>
      </c>
    </row>
    <row r="179" spans="1:7" x14ac:dyDescent="0.35">
      <c r="A179" s="1" t="s">
        <v>177</v>
      </c>
      <c r="B179">
        <v>464755.20000000001</v>
      </c>
      <c r="C179">
        <v>1046448</v>
      </c>
      <c r="D179">
        <v>75347.999999999985</v>
      </c>
      <c r="E179">
        <v>2089151.9999999998</v>
      </c>
      <c r="F179">
        <v>133224</v>
      </c>
      <c r="G179">
        <v>462251.36214400001</v>
      </c>
    </row>
    <row r="180" spans="1:7" x14ac:dyDescent="0.35">
      <c r="A180" s="1" t="s">
        <v>178</v>
      </c>
      <c r="B180">
        <v>345945.59999999998</v>
      </c>
      <c r="C180">
        <v>179816</v>
      </c>
      <c r="D180">
        <v>230630.39999999999</v>
      </c>
      <c r="E180">
        <v>2623420.7999999993</v>
      </c>
      <c r="F180">
        <v>87927.84</v>
      </c>
      <c r="G180">
        <v>64051.909049584414</v>
      </c>
    </row>
    <row r="181" spans="1:7" x14ac:dyDescent="0.35">
      <c r="A181" s="1" t="s">
        <v>179</v>
      </c>
      <c r="B181">
        <v>24972.479999999996</v>
      </c>
      <c r="C181">
        <v>28704</v>
      </c>
      <c r="D181">
        <v>32604</v>
      </c>
      <c r="E181">
        <v>523224</v>
      </c>
      <c r="F181">
        <v>46628.4</v>
      </c>
      <c r="G181">
        <v>12068.70850648699</v>
      </c>
    </row>
    <row r="182" spans="1:7" x14ac:dyDescent="0.35">
      <c r="A182" s="1" t="s">
        <v>180</v>
      </c>
      <c r="B182">
        <v>207567.36000000002</v>
      </c>
      <c r="C182">
        <v>224640.00000000006</v>
      </c>
      <c r="D182">
        <v>87584.639999999999</v>
      </c>
      <c r="E182">
        <v>69638.399999999994</v>
      </c>
      <c r="F182">
        <v>63440</v>
      </c>
      <c r="G182">
        <v>261640.97664640006</v>
      </c>
    </row>
    <row r="183" spans="1:7" x14ac:dyDescent="0.35">
      <c r="A183" s="1" t="s">
        <v>181</v>
      </c>
      <c r="B183">
        <v>184923.64800000002</v>
      </c>
      <c r="C183">
        <v>708364.80000000005</v>
      </c>
      <c r="D183">
        <v>333590.40000000002</v>
      </c>
      <c r="E183">
        <v>5513040</v>
      </c>
      <c r="F183">
        <v>808704</v>
      </c>
      <c r="G183">
        <v>492323.7305376</v>
      </c>
    </row>
    <row r="184" spans="1:7" x14ac:dyDescent="0.35">
      <c r="A184" s="1" t="s">
        <v>182</v>
      </c>
      <c r="B184">
        <v>285012</v>
      </c>
      <c r="C184">
        <v>127795.19999999995</v>
      </c>
      <c r="D184">
        <v>123552.00000000003</v>
      </c>
      <c r="E184">
        <v>4429152</v>
      </c>
      <c r="F184">
        <v>954645.11999999988</v>
      </c>
      <c r="G184">
        <v>242206.29738240002</v>
      </c>
    </row>
    <row r="185" spans="1:7" x14ac:dyDescent="0.35">
      <c r="A185" s="1" t="s">
        <v>183</v>
      </c>
      <c r="B185">
        <v>140343.84</v>
      </c>
      <c r="C185">
        <v>959649.6</v>
      </c>
      <c r="D185">
        <v>76440</v>
      </c>
      <c r="E185">
        <v>7921368</v>
      </c>
      <c r="F185">
        <v>118809.60000000001</v>
      </c>
      <c r="G185">
        <v>310928.58962546044</v>
      </c>
    </row>
    <row r="186" spans="1:7" x14ac:dyDescent="0.35">
      <c r="A186" s="1" t="s">
        <v>184</v>
      </c>
      <c r="B186">
        <v>11372.400000000001</v>
      </c>
      <c r="C186">
        <v>104000</v>
      </c>
      <c r="D186">
        <v>16016</v>
      </c>
      <c r="E186">
        <v>725400</v>
      </c>
      <c r="F186">
        <v>370656</v>
      </c>
      <c r="G186">
        <v>105373.36977226398</v>
      </c>
    </row>
    <row r="187" spans="1:7" x14ac:dyDescent="0.35">
      <c r="A187" s="1" t="s">
        <v>185</v>
      </c>
      <c r="B187">
        <v>39312</v>
      </c>
      <c r="C187">
        <v>34944</v>
      </c>
      <c r="D187">
        <v>36608</v>
      </c>
      <c r="E187">
        <v>154752</v>
      </c>
      <c r="F187">
        <v>247416</v>
      </c>
      <c r="G187">
        <v>151607.37725120003</v>
      </c>
    </row>
    <row r="188" spans="1:7" x14ac:dyDescent="0.35">
      <c r="A188" s="1" t="s">
        <v>186</v>
      </c>
      <c r="B188">
        <v>62899.199999999997</v>
      </c>
      <c r="C188">
        <v>131788.80000000002</v>
      </c>
      <c r="D188">
        <v>52852.80000000001</v>
      </c>
      <c r="E188">
        <v>365601.60000000003</v>
      </c>
      <c r="F188">
        <v>188416.8</v>
      </c>
      <c r="G188">
        <v>105120.57541439999</v>
      </c>
    </row>
    <row r="189" spans="1:7" x14ac:dyDescent="0.35">
      <c r="A189" s="1" t="s">
        <v>187</v>
      </c>
      <c r="B189">
        <v>57563.999999999993</v>
      </c>
      <c r="C189">
        <v>574080</v>
      </c>
      <c r="D189">
        <v>519479.99999999994</v>
      </c>
      <c r="E189">
        <v>3731520</v>
      </c>
      <c r="F189">
        <v>380640</v>
      </c>
      <c r="G189">
        <v>273977.21707323659</v>
      </c>
    </row>
    <row r="190" spans="1:7" x14ac:dyDescent="0.35">
      <c r="A190" s="1" t="s">
        <v>188</v>
      </c>
      <c r="B190">
        <v>18720</v>
      </c>
      <c r="C190">
        <v>5678.4000000000233</v>
      </c>
      <c r="D190">
        <v>4667.5200000000004</v>
      </c>
      <c r="E190">
        <v>130572</v>
      </c>
      <c r="F190">
        <v>98384.000000000015</v>
      </c>
      <c r="G190">
        <v>30005.738384005133</v>
      </c>
    </row>
    <row r="191" spans="1:7" x14ac:dyDescent="0.35">
      <c r="A191" s="1" t="s">
        <v>189</v>
      </c>
      <c r="B191">
        <v>13384.8</v>
      </c>
      <c r="C191">
        <v>9734.4000000000015</v>
      </c>
      <c r="D191">
        <v>5148.0000000000009</v>
      </c>
      <c r="E191">
        <v>5803.2</v>
      </c>
      <c r="F191">
        <v>35018.879999999997</v>
      </c>
      <c r="G191">
        <v>37739.739731199996</v>
      </c>
    </row>
    <row r="192" spans="1:7" x14ac:dyDescent="0.35">
      <c r="A192" s="1" t="s">
        <v>190</v>
      </c>
      <c r="B192">
        <v>74299.680000000008</v>
      </c>
      <c r="C192">
        <v>10816.000000000002</v>
      </c>
      <c r="D192">
        <v>13156</v>
      </c>
      <c r="E192">
        <v>43524</v>
      </c>
      <c r="F192">
        <v>33306</v>
      </c>
      <c r="G192">
        <v>50146.738532800002</v>
      </c>
    </row>
    <row r="193" spans="1:7" x14ac:dyDescent="0.35">
      <c r="A193" s="1" t="s">
        <v>191</v>
      </c>
      <c r="B193">
        <v>119552.15999999997</v>
      </c>
      <c r="C193">
        <v>19468.800000000003</v>
      </c>
      <c r="D193">
        <v>40716.000000000007</v>
      </c>
      <c r="E193">
        <v>2908048</v>
      </c>
      <c r="F193">
        <v>63947.519999999997</v>
      </c>
      <c r="G193">
        <v>58446.845849600002</v>
      </c>
    </row>
    <row r="194" spans="1:7" x14ac:dyDescent="0.35">
      <c r="A194" s="1" t="s">
        <v>192</v>
      </c>
      <c r="B194">
        <v>273764.39999999997</v>
      </c>
      <c r="C194">
        <v>482664</v>
      </c>
      <c r="D194">
        <v>16336.32</v>
      </c>
      <c r="E194">
        <v>4204418.3999999994</v>
      </c>
      <c r="F194">
        <v>652288.00000000012</v>
      </c>
      <c r="G194">
        <v>274444.64582079998</v>
      </c>
    </row>
    <row r="195" spans="1:7" x14ac:dyDescent="0.35">
      <c r="A195" s="1" t="s">
        <v>193</v>
      </c>
      <c r="B195">
        <v>373464</v>
      </c>
      <c r="C195">
        <v>1423656</v>
      </c>
      <c r="D195">
        <v>277992.00000000006</v>
      </c>
      <c r="E195">
        <v>1532044.8</v>
      </c>
      <c r="F195">
        <v>534418.55999999994</v>
      </c>
      <c r="G195">
        <v>720306.70732800011</v>
      </c>
    </row>
    <row r="196" spans="1:7" x14ac:dyDescent="0.35">
      <c r="A196" s="1" t="s">
        <v>194</v>
      </c>
      <c r="B196">
        <v>5054.3999999999996</v>
      </c>
      <c r="C196">
        <v>102211.19999999995</v>
      </c>
      <c r="D196">
        <v>179088</v>
      </c>
      <c r="E196">
        <v>454272</v>
      </c>
      <c r="F196">
        <v>593049.59999999998</v>
      </c>
      <c r="G196">
        <v>102333.22006847427</v>
      </c>
    </row>
    <row r="197" spans="1:7" x14ac:dyDescent="0.35">
      <c r="A197" s="1" t="s">
        <v>195</v>
      </c>
      <c r="B197">
        <v>1886.9759999999987</v>
      </c>
      <c r="C197">
        <v>213751.2</v>
      </c>
      <c r="D197">
        <v>250810.56</v>
      </c>
      <c r="E197">
        <v>420732</v>
      </c>
      <c r="F197">
        <v>206294.39999999997</v>
      </c>
      <c r="G197">
        <v>63269.071092966231</v>
      </c>
    </row>
    <row r="198" spans="1:7" x14ac:dyDescent="0.35">
      <c r="A198" s="1" t="s">
        <v>196</v>
      </c>
      <c r="B198">
        <v>253344</v>
      </c>
      <c r="C198">
        <v>584064</v>
      </c>
      <c r="D198">
        <v>19499.999999999996</v>
      </c>
      <c r="E198">
        <v>1431456</v>
      </c>
      <c r="F198">
        <v>249600.00000000003</v>
      </c>
      <c r="G198">
        <v>306882.14928799996</v>
      </c>
    </row>
    <row r="199" spans="1:7" x14ac:dyDescent="0.35">
      <c r="A199" s="1" t="s">
        <v>197</v>
      </c>
      <c r="B199">
        <v>96267.6</v>
      </c>
      <c r="C199">
        <v>206668.79999999999</v>
      </c>
      <c r="D199">
        <v>30201.600000000006</v>
      </c>
      <c r="E199">
        <v>78343.199999999997</v>
      </c>
      <c r="F199">
        <v>480177.35999999993</v>
      </c>
      <c r="G199">
        <v>88120.613868592918</v>
      </c>
    </row>
    <row r="200" spans="1:7" x14ac:dyDescent="0.35">
      <c r="A200" s="1" t="s">
        <v>198</v>
      </c>
      <c r="B200">
        <v>61916.399999999994</v>
      </c>
      <c r="C200">
        <v>461260.79999999993</v>
      </c>
      <c r="D200">
        <v>66718.080000000002</v>
      </c>
      <c r="E200">
        <v>1533168</v>
      </c>
      <c r="F200">
        <v>519573.6</v>
      </c>
      <c r="G200">
        <v>447117.10429642483</v>
      </c>
    </row>
    <row r="201" spans="1:7" x14ac:dyDescent="0.35">
      <c r="A201" s="1" t="s">
        <v>199</v>
      </c>
      <c r="B201">
        <v>6289.92</v>
      </c>
      <c r="C201">
        <v>98020</v>
      </c>
      <c r="D201">
        <v>22510.799999999999</v>
      </c>
      <c r="E201">
        <v>406224</v>
      </c>
      <c r="F201">
        <v>245830</v>
      </c>
      <c r="G201">
        <v>78270.144472000015</v>
      </c>
    </row>
    <row r="202" spans="1:7" x14ac:dyDescent="0.35">
      <c r="A202" s="1" t="s">
        <v>200</v>
      </c>
      <c r="B202">
        <v>80720.63999999997</v>
      </c>
      <c r="C202">
        <v>357739.2</v>
      </c>
      <c r="D202">
        <v>142506</v>
      </c>
      <c r="E202">
        <v>851760</v>
      </c>
      <c r="F202">
        <v>58618.560000000005</v>
      </c>
      <c r="G202">
        <v>131917.80336783497</v>
      </c>
    </row>
    <row r="203" spans="1:7" x14ac:dyDescent="0.35">
      <c r="A203" s="1" t="s">
        <v>201</v>
      </c>
      <c r="B203">
        <v>116064</v>
      </c>
      <c r="C203">
        <v>92476.799999999988</v>
      </c>
      <c r="D203">
        <v>38750.399999999994</v>
      </c>
      <c r="E203">
        <v>6896136</v>
      </c>
      <c r="F203">
        <v>1234272</v>
      </c>
      <c r="G203">
        <v>446249.06027520006</v>
      </c>
    </row>
    <row r="204" spans="1:7" x14ac:dyDescent="0.35">
      <c r="A204" s="1" t="s">
        <v>202</v>
      </c>
      <c r="B204">
        <v>145236</v>
      </c>
      <c r="C204">
        <v>431558.39999999997</v>
      </c>
      <c r="D204">
        <v>53071.199999999997</v>
      </c>
      <c r="E204">
        <v>2493764</v>
      </c>
      <c r="F204">
        <v>73273.199999999953</v>
      </c>
      <c r="G204">
        <v>88478.853750024253</v>
      </c>
    </row>
    <row r="205" spans="1:7" x14ac:dyDescent="0.35">
      <c r="A205" s="1" t="s">
        <v>203</v>
      </c>
      <c r="B205">
        <v>24429.599999999999</v>
      </c>
      <c r="C205">
        <v>136281.60000000001</v>
      </c>
      <c r="D205">
        <v>341003.52000000002</v>
      </c>
      <c r="E205">
        <v>642470.40000000002</v>
      </c>
      <c r="F205">
        <v>224640</v>
      </c>
      <c r="G205">
        <v>185120.06452760403</v>
      </c>
    </row>
    <row r="206" spans="1:7" x14ac:dyDescent="0.35">
      <c r="A206" s="1" t="s">
        <v>204</v>
      </c>
      <c r="B206">
        <v>7175.9999999999909</v>
      </c>
      <c r="C206">
        <v>321776</v>
      </c>
      <c r="D206">
        <v>288287.99999999988</v>
      </c>
      <c r="E206">
        <v>3224000</v>
      </c>
      <c r="F206">
        <v>772699.19999999984</v>
      </c>
      <c r="G206">
        <v>93780.245637528671</v>
      </c>
    </row>
    <row r="207" spans="1:7" x14ac:dyDescent="0.35">
      <c r="A207" s="1" t="s">
        <v>205</v>
      </c>
      <c r="B207">
        <v>192628.80000000002</v>
      </c>
      <c r="C207">
        <v>553644</v>
      </c>
      <c r="D207">
        <v>336336</v>
      </c>
      <c r="E207">
        <v>4204418.3999999994</v>
      </c>
      <c r="F207">
        <v>71940.960000000006</v>
      </c>
      <c r="G207">
        <v>180921.4231552</v>
      </c>
    </row>
    <row r="208" spans="1:7" x14ac:dyDescent="0.35">
      <c r="A208" s="1" t="s">
        <v>206</v>
      </c>
      <c r="B208">
        <v>116363.51999999999</v>
      </c>
      <c r="C208">
        <v>137280</v>
      </c>
      <c r="D208">
        <v>471743.99999999983</v>
      </c>
      <c r="E208">
        <v>2190240</v>
      </c>
      <c r="F208">
        <v>91353.599999999991</v>
      </c>
      <c r="G208">
        <v>149566.90891441671</v>
      </c>
    </row>
    <row r="209" spans="1:7" x14ac:dyDescent="0.35">
      <c r="A209" s="1" t="s">
        <v>207</v>
      </c>
      <c r="B209">
        <v>141523.20000000001</v>
      </c>
      <c r="C209">
        <v>720345.60000000009</v>
      </c>
      <c r="D209">
        <v>82368.000000000015</v>
      </c>
      <c r="E209">
        <v>6499584</v>
      </c>
      <c r="F209">
        <v>128044.79999999999</v>
      </c>
      <c r="G209">
        <v>195470.11991623719</v>
      </c>
    </row>
    <row r="210" spans="1:7" x14ac:dyDescent="0.35">
      <c r="A210" s="1" t="s">
        <v>208</v>
      </c>
      <c r="B210">
        <v>21621.599999999999</v>
      </c>
      <c r="C210">
        <v>141960</v>
      </c>
      <c r="D210">
        <v>113724</v>
      </c>
      <c r="E210">
        <v>415896</v>
      </c>
      <c r="F210">
        <v>75366.719999999987</v>
      </c>
      <c r="G210">
        <v>35056.500349831418</v>
      </c>
    </row>
    <row r="211" spans="1:7" x14ac:dyDescent="0.35">
      <c r="A211" s="1" t="s">
        <v>209</v>
      </c>
      <c r="B211">
        <v>97843.200000000012</v>
      </c>
      <c r="C211">
        <v>18387.199999999997</v>
      </c>
      <c r="D211">
        <v>208665.59999999998</v>
      </c>
      <c r="E211">
        <v>3797872</v>
      </c>
      <c r="F211">
        <v>1484496</v>
      </c>
      <c r="G211">
        <v>117709.32491053524</v>
      </c>
    </row>
    <row r="212" spans="1:7" x14ac:dyDescent="0.35">
      <c r="A212" s="1" t="s">
        <v>210</v>
      </c>
      <c r="B212">
        <v>217657.44</v>
      </c>
      <c r="C212">
        <v>505523.19999999995</v>
      </c>
      <c r="D212">
        <v>380540.16000000009</v>
      </c>
      <c r="E212">
        <v>1277640</v>
      </c>
      <c r="F212">
        <v>202056.39999999991</v>
      </c>
      <c r="G212">
        <v>187764.87271359999</v>
      </c>
    </row>
    <row r="213" spans="1:7" x14ac:dyDescent="0.35">
      <c r="A213" s="1" t="s">
        <v>211</v>
      </c>
      <c r="B213">
        <v>36691.199999999997</v>
      </c>
      <c r="C213">
        <v>47923.200000000012</v>
      </c>
      <c r="D213">
        <v>71135.999999999985</v>
      </c>
      <c r="E213">
        <v>194688</v>
      </c>
      <c r="F213">
        <v>97343.999999999985</v>
      </c>
      <c r="G213">
        <v>250042.29852160002</v>
      </c>
    </row>
    <row r="214" spans="1:7" x14ac:dyDescent="0.35">
      <c r="A214" s="1" t="s">
        <v>212</v>
      </c>
      <c r="B214">
        <v>20966.399999999998</v>
      </c>
      <c r="C214">
        <v>127795.20000000001</v>
      </c>
      <c r="D214">
        <v>314828.79999999999</v>
      </c>
      <c r="E214">
        <v>6615648</v>
      </c>
      <c r="F214">
        <v>349440</v>
      </c>
      <c r="G214">
        <v>470854.02191360004</v>
      </c>
    </row>
    <row r="215" spans="1:7" x14ac:dyDescent="0.35">
      <c r="A215" s="1" t="s">
        <v>213</v>
      </c>
      <c r="B215">
        <v>46644</v>
      </c>
      <c r="C215">
        <v>49920</v>
      </c>
      <c r="D215">
        <v>19655.999999999985</v>
      </c>
      <c r="E215">
        <v>119288</v>
      </c>
      <c r="F215">
        <v>39650</v>
      </c>
      <c r="G215">
        <v>43277.294195200026</v>
      </c>
    </row>
    <row r="216" spans="1:7" x14ac:dyDescent="0.35">
      <c r="A216" s="1" t="s">
        <v>214</v>
      </c>
      <c r="B216">
        <v>76658.399999999994</v>
      </c>
      <c r="C216">
        <v>321776</v>
      </c>
      <c r="D216">
        <v>64064</v>
      </c>
      <c r="E216">
        <v>789880</v>
      </c>
      <c r="F216">
        <v>1903200</v>
      </c>
      <c r="G216">
        <v>616213.18418924522</v>
      </c>
    </row>
    <row r="217" spans="1:7" x14ac:dyDescent="0.35">
      <c r="A217" s="1" t="s">
        <v>215</v>
      </c>
      <c r="B217">
        <v>35590.463999999993</v>
      </c>
      <c r="C217">
        <v>9464</v>
      </c>
      <c r="D217">
        <v>230302.79999999996</v>
      </c>
      <c r="E217">
        <v>2493764</v>
      </c>
      <c r="F217">
        <v>1753024.0000000002</v>
      </c>
      <c r="G217">
        <v>267477.46039348096</v>
      </c>
    </row>
    <row r="218" spans="1:7" x14ac:dyDescent="0.35">
      <c r="A218" s="1" t="s">
        <v>216</v>
      </c>
      <c r="B218">
        <v>16848</v>
      </c>
      <c r="C218">
        <v>51916.800000000003</v>
      </c>
      <c r="D218">
        <v>521664</v>
      </c>
      <c r="E218">
        <v>194688</v>
      </c>
      <c r="F218">
        <v>153088</v>
      </c>
      <c r="G218">
        <v>398406.40736000001</v>
      </c>
    </row>
    <row r="219" spans="1:7" x14ac:dyDescent="0.35">
      <c r="A219" s="1" t="s">
        <v>217</v>
      </c>
      <c r="B219">
        <v>4801.68</v>
      </c>
      <c r="C219">
        <v>60840.000000000007</v>
      </c>
      <c r="D219">
        <v>5491.2000000000116</v>
      </c>
      <c r="E219">
        <v>209289.59999999998</v>
      </c>
      <c r="F219">
        <v>102772.79999999999</v>
      </c>
      <c r="G219">
        <v>34499.216689599969</v>
      </c>
    </row>
    <row r="220" spans="1:7" x14ac:dyDescent="0.35">
      <c r="A220" s="1" t="s">
        <v>218</v>
      </c>
      <c r="B220">
        <v>109512</v>
      </c>
      <c r="C220">
        <v>15974.400000000001</v>
      </c>
      <c r="D220">
        <v>4804.7999999999993</v>
      </c>
      <c r="E220">
        <v>275808</v>
      </c>
      <c r="F220">
        <v>251596.79999999993</v>
      </c>
      <c r="G220">
        <v>52814.584418035243</v>
      </c>
    </row>
    <row r="221" spans="1:7" x14ac:dyDescent="0.35">
      <c r="A221" s="1" t="s">
        <v>219</v>
      </c>
      <c r="B221">
        <v>451432.8</v>
      </c>
      <c r="C221">
        <v>386048</v>
      </c>
      <c r="D221">
        <v>96876</v>
      </c>
      <c r="E221">
        <v>182519.99999999997</v>
      </c>
      <c r="F221">
        <v>599040</v>
      </c>
      <c r="G221">
        <v>229431.74244263867</v>
      </c>
    </row>
    <row r="222" spans="1:7" x14ac:dyDescent="0.35">
      <c r="A222" s="1" t="s">
        <v>220</v>
      </c>
      <c r="B222">
        <v>104832</v>
      </c>
      <c r="C222">
        <v>89856</v>
      </c>
      <c r="D222">
        <v>15558.400000000001</v>
      </c>
      <c r="E222">
        <v>356928</v>
      </c>
      <c r="F222">
        <v>490264.32000000001</v>
      </c>
      <c r="G222">
        <v>132545.11359125408</v>
      </c>
    </row>
    <row r="223" spans="1:7" x14ac:dyDescent="0.35">
      <c r="A223" s="1" t="s">
        <v>221</v>
      </c>
      <c r="B223">
        <v>23212.800000000003</v>
      </c>
      <c r="C223">
        <v>73216.000000000029</v>
      </c>
      <c r="D223">
        <v>86486.399999999994</v>
      </c>
      <c r="E223">
        <v>4224729.5999999996</v>
      </c>
      <c r="F223">
        <v>287002.55999999994</v>
      </c>
      <c r="G223">
        <v>274648.32853120001</v>
      </c>
    </row>
    <row r="224" spans="1:7" x14ac:dyDescent="0.35">
      <c r="A224" s="1" t="s">
        <v>222</v>
      </c>
      <c r="B224">
        <v>45405.359999999993</v>
      </c>
      <c r="C224">
        <v>856627.19999999995</v>
      </c>
      <c r="D224">
        <v>16848</v>
      </c>
      <c r="E224">
        <v>1752192</v>
      </c>
      <c r="F224">
        <v>698855.03999999992</v>
      </c>
      <c r="G224">
        <v>627373.27355040004</v>
      </c>
    </row>
    <row r="225" spans="1:7" x14ac:dyDescent="0.35">
      <c r="A225" s="1" t="s">
        <v>223</v>
      </c>
      <c r="B225">
        <v>13802.880000000001</v>
      </c>
      <c r="C225">
        <v>178464</v>
      </c>
      <c r="D225">
        <v>352872</v>
      </c>
      <c r="E225">
        <v>1142169.5999999999</v>
      </c>
      <c r="F225">
        <v>1253574.4000000001</v>
      </c>
      <c r="G225">
        <v>133298.2201408</v>
      </c>
    </row>
    <row r="226" spans="1:7" x14ac:dyDescent="0.35">
      <c r="A226" s="1" t="s">
        <v>224</v>
      </c>
      <c r="B226">
        <v>31093.919999999998</v>
      </c>
      <c r="C226">
        <v>79872.000000000029</v>
      </c>
      <c r="D226">
        <v>23400</v>
      </c>
      <c r="E226">
        <v>188604</v>
      </c>
      <c r="F226">
        <v>210303.59999999998</v>
      </c>
      <c r="G226">
        <v>53434.218760000003</v>
      </c>
    </row>
    <row r="227" spans="1:7" x14ac:dyDescent="0.35">
      <c r="A227" s="1" t="s">
        <v>225</v>
      </c>
      <c r="B227">
        <v>288288</v>
      </c>
      <c r="C227">
        <v>363417.59999999998</v>
      </c>
      <c r="D227">
        <v>134784</v>
      </c>
      <c r="E227">
        <v>658694.39999999991</v>
      </c>
      <c r="F227">
        <v>685152</v>
      </c>
      <c r="G227">
        <v>322454.30746879999</v>
      </c>
    </row>
    <row r="228" spans="1:7" x14ac:dyDescent="0.35">
      <c r="A228" s="1" t="s">
        <v>226</v>
      </c>
      <c r="B228">
        <v>153316.79999999999</v>
      </c>
      <c r="C228">
        <v>19968</v>
      </c>
      <c r="D228">
        <v>197683.20000000001</v>
      </c>
      <c r="E228">
        <v>2599833.6000000001</v>
      </c>
      <c r="F228">
        <v>198694.08</v>
      </c>
      <c r="G228">
        <v>211127.89384960002</v>
      </c>
    </row>
    <row r="229" spans="1:7" x14ac:dyDescent="0.35">
      <c r="A229" s="1" t="s">
        <v>227</v>
      </c>
      <c r="B229">
        <v>230256</v>
      </c>
      <c r="C229">
        <v>204422.40000000002</v>
      </c>
      <c r="D229">
        <v>386580.48000000004</v>
      </c>
      <c r="E229">
        <v>1907942.3999999997</v>
      </c>
      <c r="F229">
        <v>752793.59999999986</v>
      </c>
      <c r="G229">
        <v>291946.59203840001</v>
      </c>
    </row>
    <row r="230" spans="1:7" x14ac:dyDescent="0.35">
      <c r="A230" s="1" t="s">
        <v>228</v>
      </c>
      <c r="B230">
        <v>58024.511999999995</v>
      </c>
      <c r="C230">
        <v>442915.2</v>
      </c>
      <c r="D230">
        <v>593049.60000000009</v>
      </c>
      <c r="E230">
        <v>4062240</v>
      </c>
      <c r="F230">
        <v>347714.63999999996</v>
      </c>
      <c r="G230">
        <v>440316.95292000001</v>
      </c>
    </row>
    <row r="231" spans="1:7" x14ac:dyDescent="0.35">
      <c r="A231" s="1" t="s">
        <v>229</v>
      </c>
      <c r="B231">
        <v>16380</v>
      </c>
      <c r="C231">
        <v>624624</v>
      </c>
      <c r="D231">
        <v>164736</v>
      </c>
      <c r="E231">
        <v>2482480</v>
      </c>
      <c r="F231">
        <v>131040.00000000001</v>
      </c>
      <c r="G231">
        <v>109307.93494400004</v>
      </c>
    </row>
    <row r="232" spans="1:7" x14ac:dyDescent="0.35">
      <c r="A232" s="1" t="s">
        <v>230</v>
      </c>
      <c r="B232">
        <v>78249.599999999991</v>
      </c>
      <c r="C232">
        <v>511180.80000000005</v>
      </c>
      <c r="D232">
        <v>249600</v>
      </c>
      <c r="E232">
        <v>7242393.5999999996</v>
      </c>
      <c r="F232">
        <v>179712</v>
      </c>
      <c r="G232">
        <v>288854.68281474226</v>
      </c>
    </row>
    <row r="233" spans="1:7" x14ac:dyDescent="0.35">
      <c r="A233" s="1" t="s">
        <v>231</v>
      </c>
      <c r="B233">
        <v>163800</v>
      </c>
      <c r="C233">
        <v>149760</v>
      </c>
      <c r="D233">
        <v>273779.99999999994</v>
      </c>
      <c r="E233">
        <v>6077240</v>
      </c>
      <c r="F233">
        <v>295152</v>
      </c>
      <c r="G233">
        <v>66264.678851469012</v>
      </c>
    </row>
    <row r="234" spans="1:7" x14ac:dyDescent="0.35">
      <c r="A234" s="1" t="s">
        <v>232</v>
      </c>
      <c r="B234">
        <v>147420</v>
      </c>
      <c r="C234">
        <v>253094.39999999999</v>
      </c>
      <c r="D234">
        <v>272937.60000000003</v>
      </c>
      <c r="E234">
        <v>7486128</v>
      </c>
      <c r="F234">
        <v>471744</v>
      </c>
      <c r="G234">
        <v>413469.57394080004</v>
      </c>
    </row>
    <row r="235" spans="1:7" x14ac:dyDescent="0.35">
      <c r="A235" s="1" t="s">
        <v>233</v>
      </c>
      <c r="B235">
        <v>190008</v>
      </c>
      <c r="C235">
        <v>19968</v>
      </c>
      <c r="D235">
        <v>72483.840000000011</v>
      </c>
      <c r="E235">
        <v>406224</v>
      </c>
      <c r="F235">
        <v>126547.2</v>
      </c>
      <c r="G235">
        <v>129143.8379712</v>
      </c>
    </row>
    <row r="236" spans="1:7" x14ac:dyDescent="0.35">
      <c r="A236" s="1" t="s">
        <v>234</v>
      </c>
      <c r="B236">
        <v>108972.864</v>
      </c>
      <c r="C236">
        <v>576576</v>
      </c>
      <c r="D236">
        <v>132132.00000000003</v>
      </c>
      <c r="E236">
        <v>1372280</v>
      </c>
      <c r="F236">
        <v>937664.00000000023</v>
      </c>
      <c r="G236">
        <v>494023.60483839997</v>
      </c>
    </row>
    <row r="237" spans="1:7" x14ac:dyDescent="0.35">
      <c r="A237" s="1" t="s">
        <v>235</v>
      </c>
      <c r="B237">
        <v>330220.79999999999</v>
      </c>
      <c r="C237">
        <v>356428.80000000005</v>
      </c>
      <c r="D237">
        <v>161441.28</v>
      </c>
      <c r="E237">
        <v>1218672</v>
      </c>
      <c r="F237">
        <v>1510760.16</v>
      </c>
      <c r="G237">
        <v>144761.8563419804</v>
      </c>
    </row>
    <row r="238" spans="1:7" x14ac:dyDescent="0.35">
      <c r="A238" s="1" t="s">
        <v>236</v>
      </c>
      <c r="B238">
        <v>499699.20000000007</v>
      </c>
      <c r="C238">
        <v>389376.00000000006</v>
      </c>
      <c r="D238">
        <v>105431.04000000001</v>
      </c>
      <c r="E238">
        <v>6615648</v>
      </c>
      <c r="F238">
        <v>18270.719999999998</v>
      </c>
      <c r="G238">
        <v>325130.57208319998</v>
      </c>
    </row>
    <row r="239" spans="1:7" x14ac:dyDescent="0.35">
      <c r="A239" s="1" t="s">
        <v>237</v>
      </c>
      <c r="B239">
        <v>166944.95999999996</v>
      </c>
      <c r="C239">
        <v>792136.79999999993</v>
      </c>
      <c r="D239">
        <v>24024</v>
      </c>
      <c r="E239">
        <v>2843568</v>
      </c>
      <c r="F239">
        <v>186513.6</v>
      </c>
      <c r="G239">
        <v>195076.71601600002</v>
      </c>
    </row>
    <row r="240" spans="1:7" x14ac:dyDescent="0.35">
      <c r="A240" s="1" t="s">
        <v>238</v>
      </c>
      <c r="B240">
        <v>370656</v>
      </c>
      <c r="C240">
        <v>827424</v>
      </c>
      <c r="D240">
        <v>356928</v>
      </c>
      <c r="E240">
        <v>9536592</v>
      </c>
      <c r="F240">
        <v>599508</v>
      </c>
      <c r="G240">
        <v>816834.94609600003</v>
      </c>
    </row>
    <row r="241" spans="1:7" x14ac:dyDescent="0.35">
      <c r="A241" s="1" t="s">
        <v>239</v>
      </c>
      <c r="B241">
        <v>27456</v>
      </c>
      <c r="C241">
        <v>351436.80000000005</v>
      </c>
      <c r="D241">
        <v>27456</v>
      </c>
      <c r="E241">
        <v>619008</v>
      </c>
      <c r="F241">
        <v>163072.00000000006</v>
      </c>
      <c r="G241">
        <v>144694.02163840004</v>
      </c>
    </row>
    <row r="242" spans="1:7" x14ac:dyDescent="0.35">
      <c r="A242" s="1" t="s">
        <v>240</v>
      </c>
      <c r="B242">
        <v>67167.360000000001</v>
      </c>
      <c r="C242">
        <v>599040.00000000012</v>
      </c>
      <c r="D242">
        <v>153753.60000000001</v>
      </c>
      <c r="E242">
        <v>2119936</v>
      </c>
      <c r="F242">
        <v>698880</v>
      </c>
      <c r="G242">
        <v>538442.76212480001</v>
      </c>
    </row>
    <row r="243" spans="1:7" x14ac:dyDescent="0.35">
      <c r="A243" s="1" t="s">
        <v>241</v>
      </c>
      <c r="B243">
        <v>15724.799999999994</v>
      </c>
      <c r="C243">
        <v>459680</v>
      </c>
      <c r="D243">
        <v>461260.79999999993</v>
      </c>
      <c r="E243">
        <v>696384</v>
      </c>
      <c r="F243">
        <v>561600</v>
      </c>
      <c r="G243">
        <v>407022.45001600002</v>
      </c>
    </row>
    <row r="244" spans="1:7" x14ac:dyDescent="0.35">
      <c r="A244" s="1" t="s">
        <v>242</v>
      </c>
      <c r="B244">
        <v>98280</v>
      </c>
      <c r="C244">
        <v>37856</v>
      </c>
      <c r="D244">
        <v>234748.79999999996</v>
      </c>
      <c r="E244">
        <v>569462.4</v>
      </c>
      <c r="F244">
        <v>188697.60000000001</v>
      </c>
      <c r="G244">
        <v>148619.10800884728</v>
      </c>
    </row>
    <row r="245" spans="1:7" x14ac:dyDescent="0.35">
      <c r="A245" s="1" t="s">
        <v>243</v>
      </c>
      <c r="B245">
        <v>219754.08</v>
      </c>
      <c r="C245">
        <v>775756.80000000005</v>
      </c>
      <c r="D245">
        <v>43243.200000000004</v>
      </c>
      <c r="E245">
        <v>1155960</v>
      </c>
      <c r="F245">
        <v>707616</v>
      </c>
      <c r="G245">
        <v>669798.38577599998</v>
      </c>
    </row>
    <row r="246" spans="1:7" x14ac:dyDescent="0.35">
      <c r="A246" s="1" t="s">
        <v>244</v>
      </c>
      <c r="B246">
        <v>127296</v>
      </c>
      <c r="C246">
        <v>139932</v>
      </c>
      <c r="D246">
        <v>367769.99999999994</v>
      </c>
      <c r="E246">
        <v>169260</v>
      </c>
      <c r="F246">
        <v>392080.00000000006</v>
      </c>
      <c r="G246">
        <v>329390.38028000004</v>
      </c>
    </row>
    <row r="247" spans="1:7" x14ac:dyDescent="0.35">
      <c r="A247" s="1" t="s">
        <v>245</v>
      </c>
      <c r="B247">
        <v>301916.16000000003</v>
      </c>
      <c r="C247">
        <v>259584</v>
      </c>
      <c r="D247">
        <v>183040</v>
      </c>
      <c r="E247">
        <v>974937.59999999986</v>
      </c>
      <c r="F247">
        <v>246654.71999999997</v>
      </c>
      <c r="G247">
        <v>240918.07900160001</v>
      </c>
    </row>
    <row r="248" spans="1:7" x14ac:dyDescent="0.35">
      <c r="A248" s="1" t="s">
        <v>246</v>
      </c>
      <c r="B248">
        <v>74256</v>
      </c>
      <c r="C248">
        <v>686899.20000000019</v>
      </c>
      <c r="D248">
        <v>5491.2</v>
      </c>
      <c r="E248">
        <v>11400064</v>
      </c>
      <c r="F248">
        <v>515174.39999999997</v>
      </c>
      <c r="G248">
        <v>655417.40226560005</v>
      </c>
    </row>
    <row r="249" spans="1:7" x14ac:dyDescent="0.35">
      <c r="A249" s="1" t="s">
        <v>247</v>
      </c>
      <c r="B249">
        <v>13416</v>
      </c>
      <c r="C249">
        <v>70980</v>
      </c>
      <c r="D249">
        <v>249849.59999999995</v>
      </c>
      <c r="E249">
        <v>209560</v>
      </c>
      <c r="F249">
        <v>886574</v>
      </c>
      <c r="G249">
        <v>68929.372864304751</v>
      </c>
    </row>
    <row r="250" spans="1:7" x14ac:dyDescent="0.35">
      <c r="A250" s="1" t="s">
        <v>248</v>
      </c>
      <c r="B250">
        <v>9827.9999999999982</v>
      </c>
      <c r="C250">
        <v>31616.000000000007</v>
      </c>
      <c r="D250">
        <v>57657.599999999999</v>
      </c>
      <c r="E250">
        <v>781456</v>
      </c>
      <c r="F250">
        <v>83740.800000000047</v>
      </c>
      <c r="G250">
        <v>102142.428128</v>
      </c>
    </row>
    <row r="251" spans="1:7" x14ac:dyDescent="0.35">
      <c r="A251" s="1" t="s">
        <v>249</v>
      </c>
      <c r="B251">
        <v>129292.8</v>
      </c>
      <c r="C251">
        <v>150883.20000000001</v>
      </c>
      <c r="D251">
        <v>67267.199999999983</v>
      </c>
      <c r="E251">
        <v>77376</v>
      </c>
      <c r="F251">
        <v>228384</v>
      </c>
      <c r="G251">
        <v>91496.215491200011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EF2A-AEA0-4623-B3BD-596B9A31A019}">
  <dimension ref="A1:F238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>
        <v>1</v>
      </c>
    </row>
    <row r="3" spans="1:6" x14ac:dyDescent="0.35">
      <c r="A3" s="1" t="s">
        <v>1</v>
      </c>
      <c r="D3">
        <v>1</v>
      </c>
      <c r="E3">
        <v>1</v>
      </c>
      <c r="F3">
        <v>1</v>
      </c>
    </row>
    <row r="4" spans="1:6" x14ac:dyDescent="0.35">
      <c r="A4" s="1" t="s">
        <v>2</v>
      </c>
      <c r="E4">
        <v>1</v>
      </c>
    </row>
    <row r="5" spans="1:6" x14ac:dyDescent="0.35">
      <c r="A5" s="1" t="s">
        <v>3</v>
      </c>
      <c r="C5">
        <v>1</v>
      </c>
      <c r="E5">
        <v>1</v>
      </c>
    </row>
    <row r="6" spans="1:6" x14ac:dyDescent="0.35">
      <c r="A6" s="1" t="s">
        <v>4</v>
      </c>
      <c r="E6">
        <v>1</v>
      </c>
    </row>
    <row r="7" spans="1:6" x14ac:dyDescent="0.35">
      <c r="A7" s="1" t="s">
        <v>5</v>
      </c>
      <c r="C7">
        <v>1</v>
      </c>
      <c r="D7">
        <v>0.99999999999999978</v>
      </c>
    </row>
    <row r="8" spans="1:6" x14ac:dyDescent="0.35">
      <c r="A8" s="1" t="s">
        <v>6</v>
      </c>
      <c r="C8">
        <v>5.5650899584007848E-15</v>
      </c>
      <c r="E8">
        <v>1</v>
      </c>
    </row>
    <row r="9" spans="1:6" x14ac:dyDescent="0.35">
      <c r="A9" s="1" t="s">
        <v>7</v>
      </c>
      <c r="B9">
        <v>1</v>
      </c>
      <c r="E9">
        <v>1</v>
      </c>
    </row>
    <row r="10" spans="1:6" x14ac:dyDescent="0.35">
      <c r="A10" s="1" t="s">
        <v>8</v>
      </c>
      <c r="C10">
        <v>1</v>
      </c>
      <c r="E10">
        <v>1</v>
      </c>
      <c r="F10">
        <v>1</v>
      </c>
    </row>
    <row r="11" spans="1:6" x14ac:dyDescent="0.35">
      <c r="A11" s="1" t="s">
        <v>9</v>
      </c>
      <c r="E11">
        <v>1</v>
      </c>
    </row>
    <row r="12" spans="1:6" x14ac:dyDescent="0.35">
      <c r="A12" s="1" t="s">
        <v>10</v>
      </c>
      <c r="B12">
        <v>1</v>
      </c>
      <c r="D12">
        <v>1</v>
      </c>
    </row>
    <row r="13" spans="1:6" x14ac:dyDescent="0.35">
      <c r="A13" s="1" t="s">
        <v>11</v>
      </c>
      <c r="B13">
        <v>1</v>
      </c>
      <c r="C13">
        <v>1</v>
      </c>
      <c r="D13">
        <v>1</v>
      </c>
    </row>
    <row r="14" spans="1:6" x14ac:dyDescent="0.35">
      <c r="A14" s="1" t="s">
        <v>12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C15">
        <v>1</v>
      </c>
    </row>
    <row r="16" spans="1:6" x14ac:dyDescent="0.35">
      <c r="A16" s="1" t="s">
        <v>14</v>
      </c>
      <c r="B16">
        <v>1</v>
      </c>
      <c r="C16">
        <v>1</v>
      </c>
      <c r="E16">
        <v>1</v>
      </c>
    </row>
    <row r="17" spans="1:6" x14ac:dyDescent="0.35">
      <c r="A17" s="1" t="s">
        <v>15</v>
      </c>
      <c r="E17">
        <v>1</v>
      </c>
    </row>
    <row r="18" spans="1:6" x14ac:dyDescent="0.35">
      <c r="A18" s="1" t="s">
        <v>16</v>
      </c>
      <c r="D18">
        <v>1</v>
      </c>
      <c r="E18">
        <v>1</v>
      </c>
    </row>
    <row r="19" spans="1:6" x14ac:dyDescent="0.35">
      <c r="A19" s="1" t="s">
        <v>17</v>
      </c>
      <c r="C19">
        <v>0.99999999999999944</v>
      </c>
      <c r="F19">
        <v>1</v>
      </c>
    </row>
    <row r="20" spans="1:6" x14ac:dyDescent="0.35">
      <c r="A20" s="1" t="s">
        <v>18</v>
      </c>
      <c r="B20">
        <v>1</v>
      </c>
      <c r="D20">
        <v>1.1357326445715885E-15</v>
      </c>
    </row>
    <row r="21" spans="1:6" x14ac:dyDescent="0.35">
      <c r="A21" s="1" t="s">
        <v>19</v>
      </c>
      <c r="B21">
        <v>1</v>
      </c>
      <c r="C21">
        <v>1</v>
      </c>
      <c r="E21">
        <v>1</v>
      </c>
      <c r="F21">
        <v>1</v>
      </c>
    </row>
    <row r="22" spans="1:6" x14ac:dyDescent="0.35">
      <c r="A22" s="1" t="s">
        <v>20</v>
      </c>
      <c r="C22">
        <v>1</v>
      </c>
      <c r="E22">
        <v>1</v>
      </c>
    </row>
    <row r="23" spans="1:6" x14ac:dyDescent="0.35">
      <c r="A23" s="1" t="s">
        <v>21</v>
      </c>
      <c r="B23">
        <v>1</v>
      </c>
      <c r="C23">
        <v>1</v>
      </c>
      <c r="E23">
        <v>1</v>
      </c>
      <c r="F23">
        <v>1</v>
      </c>
    </row>
    <row r="24" spans="1:6" x14ac:dyDescent="0.35">
      <c r="A24" s="1" t="s">
        <v>22</v>
      </c>
      <c r="B24">
        <v>1</v>
      </c>
      <c r="D24">
        <v>1</v>
      </c>
      <c r="E24">
        <v>1</v>
      </c>
    </row>
    <row r="25" spans="1:6" x14ac:dyDescent="0.35">
      <c r="A25" s="1" t="s">
        <v>23</v>
      </c>
      <c r="D25">
        <v>1</v>
      </c>
    </row>
    <row r="26" spans="1:6" x14ac:dyDescent="0.35">
      <c r="A26" s="1" t="s">
        <v>24</v>
      </c>
      <c r="B26">
        <v>0.99999999999999989</v>
      </c>
      <c r="E26">
        <v>1</v>
      </c>
    </row>
    <row r="27" spans="1:6" x14ac:dyDescent="0.35">
      <c r="A27" s="1" t="s">
        <v>25</v>
      </c>
      <c r="F27">
        <v>0.99999999999999989</v>
      </c>
    </row>
    <row r="28" spans="1:6" x14ac:dyDescent="0.35">
      <c r="A28" s="1" t="s">
        <v>26</v>
      </c>
      <c r="B28">
        <v>1</v>
      </c>
      <c r="D28">
        <v>1</v>
      </c>
    </row>
    <row r="29" spans="1:6" x14ac:dyDescent="0.35">
      <c r="A29" s="1" t="s">
        <v>27</v>
      </c>
      <c r="C29">
        <v>1</v>
      </c>
      <c r="E29">
        <v>1</v>
      </c>
      <c r="F29">
        <v>1</v>
      </c>
    </row>
    <row r="30" spans="1:6" x14ac:dyDescent="0.35">
      <c r="A30" s="1" t="s">
        <v>28</v>
      </c>
      <c r="C30">
        <v>5.8300942421341554E-16</v>
      </c>
      <c r="E30">
        <v>1</v>
      </c>
    </row>
    <row r="31" spans="1:6" x14ac:dyDescent="0.35">
      <c r="A31" s="1" t="s">
        <v>29</v>
      </c>
      <c r="B31">
        <v>1</v>
      </c>
      <c r="D31">
        <v>1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F32">
        <v>0.99999999999999933</v>
      </c>
    </row>
    <row r="33" spans="1:6" x14ac:dyDescent="0.35">
      <c r="A33" s="1" t="s">
        <v>31</v>
      </c>
      <c r="B33">
        <v>0.99999999999999989</v>
      </c>
      <c r="E33">
        <v>1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</row>
    <row r="35" spans="1:6" x14ac:dyDescent="0.35">
      <c r="A35" s="1" t="s">
        <v>33</v>
      </c>
      <c r="E35">
        <v>1</v>
      </c>
    </row>
    <row r="36" spans="1:6" x14ac:dyDescent="0.35">
      <c r="A36" s="1" t="s">
        <v>34</v>
      </c>
      <c r="B36">
        <v>1</v>
      </c>
      <c r="D36">
        <v>1</v>
      </c>
      <c r="F36">
        <v>1</v>
      </c>
    </row>
    <row r="37" spans="1:6" x14ac:dyDescent="0.35">
      <c r="A37" s="1" t="s">
        <v>35</v>
      </c>
      <c r="E37">
        <v>1</v>
      </c>
      <c r="F37">
        <v>0.99999999999999956</v>
      </c>
    </row>
    <row r="38" spans="1:6" x14ac:dyDescent="0.35">
      <c r="A38" s="1" t="s">
        <v>36</v>
      </c>
      <c r="B38">
        <v>1</v>
      </c>
      <c r="E38">
        <v>1</v>
      </c>
    </row>
    <row r="39" spans="1:6" x14ac:dyDescent="0.35">
      <c r="A39" s="1" t="s">
        <v>37</v>
      </c>
      <c r="C39">
        <v>1</v>
      </c>
      <c r="E39">
        <v>1</v>
      </c>
    </row>
    <row r="40" spans="1:6" x14ac:dyDescent="0.35">
      <c r="A40" s="1" t="s">
        <v>38</v>
      </c>
      <c r="B40">
        <v>1</v>
      </c>
      <c r="F40">
        <v>1</v>
      </c>
    </row>
    <row r="41" spans="1:6" x14ac:dyDescent="0.35">
      <c r="A41" s="1" t="s">
        <v>39</v>
      </c>
      <c r="C41">
        <v>1</v>
      </c>
      <c r="D41">
        <v>1</v>
      </c>
      <c r="E41">
        <v>1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F43">
        <v>1</v>
      </c>
    </row>
    <row r="44" spans="1:6" x14ac:dyDescent="0.35">
      <c r="A44" s="1" t="s">
        <v>42</v>
      </c>
      <c r="B44">
        <v>1</v>
      </c>
    </row>
    <row r="45" spans="1:6" x14ac:dyDescent="0.35">
      <c r="A45" s="1" t="s">
        <v>43</v>
      </c>
      <c r="C45">
        <v>1</v>
      </c>
      <c r="E45">
        <v>1</v>
      </c>
    </row>
    <row r="46" spans="1:6" x14ac:dyDescent="0.35">
      <c r="A46" s="1" t="s">
        <v>44</v>
      </c>
      <c r="C46">
        <v>0.99999999999999967</v>
      </c>
      <c r="E46">
        <v>1</v>
      </c>
    </row>
    <row r="47" spans="1:6" x14ac:dyDescent="0.35">
      <c r="A47" s="1" t="s">
        <v>45</v>
      </c>
      <c r="C47">
        <v>1</v>
      </c>
      <c r="E47">
        <v>1</v>
      </c>
      <c r="F47">
        <v>1</v>
      </c>
    </row>
    <row r="48" spans="1:6" x14ac:dyDescent="0.35">
      <c r="A48" s="1" t="s">
        <v>46</v>
      </c>
      <c r="C48">
        <v>1</v>
      </c>
      <c r="D48">
        <v>0.99999999999999989</v>
      </c>
      <c r="E48">
        <v>1</v>
      </c>
    </row>
    <row r="49" spans="1:6" x14ac:dyDescent="0.35">
      <c r="A49" s="1" t="s">
        <v>47</v>
      </c>
      <c r="C49">
        <v>1</v>
      </c>
    </row>
    <row r="50" spans="1:6" x14ac:dyDescent="0.35">
      <c r="A50" s="1" t="s">
        <v>48</v>
      </c>
      <c r="B50">
        <v>1</v>
      </c>
      <c r="F50">
        <v>1</v>
      </c>
    </row>
    <row r="51" spans="1:6" x14ac:dyDescent="0.35">
      <c r="A51" s="1" t="s">
        <v>49</v>
      </c>
      <c r="C51">
        <v>1</v>
      </c>
      <c r="D51">
        <v>1</v>
      </c>
      <c r="E51">
        <v>1</v>
      </c>
    </row>
    <row r="52" spans="1:6" x14ac:dyDescent="0.35">
      <c r="A52" s="1" t="s">
        <v>50</v>
      </c>
      <c r="C52">
        <v>1</v>
      </c>
      <c r="F52">
        <v>1</v>
      </c>
    </row>
    <row r="53" spans="1:6" x14ac:dyDescent="0.35">
      <c r="A53" s="1" t="s">
        <v>51</v>
      </c>
      <c r="B53">
        <v>1</v>
      </c>
      <c r="E53">
        <v>1</v>
      </c>
    </row>
    <row r="54" spans="1:6" x14ac:dyDescent="0.35">
      <c r="A54" s="1" t="s">
        <v>52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C55">
        <v>1</v>
      </c>
      <c r="D55">
        <v>1</v>
      </c>
      <c r="E55">
        <v>1</v>
      </c>
    </row>
    <row r="56" spans="1:6" x14ac:dyDescent="0.35">
      <c r="A56" s="1" t="s">
        <v>54</v>
      </c>
      <c r="C56">
        <v>0.99999999999999967</v>
      </c>
      <c r="D56">
        <v>1</v>
      </c>
      <c r="E56">
        <v>1</v>
      </c>
    </row>
    <row r="57" spans="1:6" x14ac:dyDescent="0.35">
      <c r="A57" s="1" t="s">
        <v>55</v>
      </c>
      <c r="B57">
        <v>1</v>
      </c>
      <c r="D57">
        <v>1</v>
      </c>
    </row>
    <row r="58" spans="1:6" x14ac:dyDescent="0.35">
      <c r="A58" s="1" t="s">
        <v>56</v>
      </c>
      <c r="D58">
        <v>1</v>
      </c>
      <c r="E58">
        <v>1</v>
      </c>
      <c r="F58">
        <v>1</v>
      </c>
    </row>
    <row r="59" spans="1:6" x14ac:dyDescent="0.35">
      <c r="A59" s="1" t="s">
        <v>57</v>
      </c>
      <c r="D59">
        <v>1</v>
      </c>
      <c r="E59">
        <v>1</v>
      </c>
      <c r="F59">
        <v>1</v>
      </c>
    </row>
    <row r="60" spans="1:6" x14ac:dyDescent="0.35">
      <c r="A60" s="1" t="s">
        <v>58</v>
      </c>
      <c r="D60">
        <v>1</v>
      </c>
    </row>
    <row r="61" spans="1:6" x14ac:dyDescent="0.35">
      <c r="A61" s="1" t="s">
        <v>59</v>
      </c>
      <c r="B61">
        <v>0.99999999999999889</v>
      </c>
      <c r="C61">
        <v>1</v>
      </c>
      <c r="F61">
        <v>1</v>
      </c>
    </row>
    <row r="62" spans="1:6" x14ac:dyDescent="0.35">
      <c r="A62" s="1" t="s">
        <v>60</v>
      </c>
      <c r="E62">
        <v>1</v>
      </c>
    </row>
    <row r="63" spans="1:6" x14ac:dyDescent="0.35">
      <c r="A63" s="1" t="s">
        <v>61</v>
      </c>
      <c r="C63">
        <v>1</v>
      </c>
    </row>
    <row r="64" spans="1:6" x14ac:dyDescent="0.35">
      <c r="A64" s="1" t="s">
        <v>62</v>
      </c>
      <c r="E64">
        <v>1</v>
      </c>
      <c r="F64">
        <v>1</v>
      </c>
    </row>
    <row r="65" spans="1:6" x14ac:dyDescent="0.35">
      <c r="A65" s="1" t="s">
        <v>63</v>
      </c>
      <c r="B65">
        <v>1</v>
      </c>
      <c r="E65">
        <v>1</v>
      </c>
      <c r="F65">
        <v>1</v>
      </c>
    </row>
    <row r="66" spans="1:6" x14ac:dyDescent="0.35">
      <c r="A66" s="1" t="s">
        <v>64</v>
      </c>
      <c r="B66">
        <v>1</v>
      </c>
      <c r="C66">
        <v>1</v>
      </c>
      <c r="D66">
        <v>0.99999999999999978</v>
      </c>
      <c r="E66">
        <v>1</v>
      </c>
    </row>
    <row r="67" spans="1:6" x14ac:dyDescent="0.35">
      <c r="A67" s="1" t="s">
        <v>65</v>
      </c>
      <c r="C67">
        <v>1</v>
      </c>
      <c r="E67">
        <v>1</v>
      </c>
    </row>
    <row r="68" spans="1:6" x14ac:dyDescent="0.35">
      <c r="A68" s="1" t="s">
        <v>66</v>
      </c>
      <c r="C68">
        <v>1</v>
      </c>
      <c r="E68">
        <v>1</v>
      </c>
    </row>
    <row r="69" spans="1:6" x14ac:dyDescent="0.35">
      <c r="A69" s="1" t="s">
        <v>67</v>
      </c>
      <c r="C69">
        <v>1</v>
      </c>
      <c r="D69">
        <v>1</v>
      </c>
    </row>
    <row r="70" spans="1:6" x14ac:dyDescent="0.35">
      <c r="A70" s="1" t="s">
        <v>68</v>
      </c>
      <c r="F70">
        <v>1</v>
      </c>
    </row>
    <row r="71" spans="1:6" x14ac:dyDescent="0.35">
      <c r="A71" s="1" t="s">
        <v>69</v>
      </c>
      <c r="B71">
        <v>1</v>
      </c>
      <c r="C71">
        <v>1</v>
      </c>
    </row>
    <row r="72" spans="1:6" x14ac:dyDescent="0.35">
      <c r="A72" s="1" t="s">
        <v>70</v>
      </c>
      <c r="B72">
        <v>1</v>
      </c>
      <c r="D72">
        <v>1</v>
      </c>
      <c r="F72">
        <v>1</v>
      </c>
    </row>
    <row r="73" spans="1:6" x14ac:dyDescent="0.35">
      <c r="A73" s="1" t="s">
        <v>71</v>
      </c>
      <c r="B73">
        <v>0.99999999999999978</v>
      </c>
      <c r="C73">
        <v>1</v>
      </c>
      <c r="F73">
        <v>1</v>
      </c>
    </row>
    <row r="74" spans="1:6" x14ac:dyDescent="0.35">
      <c r="A74" s="1" t="s">
        <v>72</v>
      </c>
      <c r="D74">
        <v>1</v>
      </c>
      <c r="E74">
        <v>1</v>
      </c>
      <c r="F74">
        <v>1</v>
      </c>
    </row>
    <row r="75" spans="1:6" x14ac:dyDescent="0.35">
      <c r="A75" s="1" t="s">
        <v>73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s="1" t="s">
        <v>74</v>
      </c>
      <c r="B76">
        <v>1</v>
      </c>
      <c r="C76">
        <v>5.8300942421341554E-16</v>
      </c>
    </row>
    <row r="77" spans="1:6" x14ac:dyDescent="0.35">
      <c r="A77" s="1" t="s">
        <v>75</v>
      </c>
      <c r="B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F78">
        <v>1</v>
      </c>
    </row>
    <row r="79" spans="1:6" x14ac:dyDescent="0.35">
      <c r="A79" s="1" t="s">
        <v>77</v>
      </c>
      <c r="C79">
        <v>0.99999999999999911</v>
      </c>
      <c r="F79">
        <v>1</v>
      </c>
    </row>
    <row r="80" spans="1:6" x14ac:dyDescent="0.35">
      <c r="A80" s="1" t="s">
        <v>78</v>
      </c>
      <c r="D80">
        <v>1</v>
      </c>
      <c r="F80">
        <v>1</v>
      </c>
    </row>
    <row r="81" spans="1:6" x14ac:dyDescent="0.35">
      <c r="A81" s="1" t="s">
        <v>79</v>
      </c>
      <c r="E81">
        <v>1</v>
      </c>
    </row>
    <row r="82" spans="1:6" x14ac:dyDescent="0.35">
      <c r="A82" s="1" t="s">
        <v>80</v>
      </c>
      <c r="B82">
        <v>0.99999999999999989</v>
      </c>
      <c r="C82">
        <v>1</v>
      </c>
    </row>
    <row r="83" spans="1:6" x14ac:dyDescent="0.35">
      <c r="A83" s="1" t="s">
        <v>81</v>
      </c>
      <c r="C83">
        <v>1</v>
      </c>
      <c r="E83">
        <v>1</v>
      </c>
    </row>
    <row r="84" spans="1:6" x14ac:dyDescent="0.35">
      <c r="A84" s="1" t="s">
        <v>82</v>
      </c>
      <c r="F84">
        <v>1</v>
      </c>
    </row>
    <row r="85" spans="1:6" x14ac:dyDescent="0.35">
      <c r="A85" s="1" t="s">
        <v>83</v>
      </c>
      <c r="B85">
        <v>1</v>
      </c>
      <c r="C85">
        <v>0.99999999999999778</v>
      </c>
      <c r="D85">
        <v>0.99999999999999989</v>
      </c>
      <c r="E85">
        <v>1</v>
      </c>
      <c r="F85">
        <v>1</v>
      </c>
    </row>
    <row r="86" spans="1:6" x14ac:dyDescent="0.35">
      <c r="A86" s="1" t="s">
        <v>85</v>
      </c>
      <c r="B86">
        <v>1</v>
      </c>
      <c r="E86">
        <v>1</v>
      </c>
      <c r="F86">
        <v>1</v>
      </c>
    </row>
    <row r="87" spans="1:6" x14ac:dyDescent="0.35">
      <c r="A87" s="1" t="s">
        <v>86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 x14ac:dyDescent="0.35">
      <c r="A88" s="1" t="s">
        <v>87</v>
      </c>
      <c r="B88">
        <v>1</v>
      </c>
      <c r="D88">
        <v>1</v>
      </c>
      <c r="E88">
        <v>1</v>
      </c>
    </row>
    <row r="89" spans="1:6" x14ac:dyDescent="0.35">
      <c r="A89" s="1" t="s">
        <v>88</v>
      </c>
      <c r="E89">
        <v>1</v>
      </c>
    </row>
    <row r="90" spans="1:6" x14ac:dyDescent="0.35">
      <c r="A90" s="1" t="s">
        <v>89</v>
      </c>
      <c r="C90">
        <v>1</v>
      </c>
      <c r="D90">
        <v>1</v>
      </c>
      <c r="E90">
        <v>1</v>
      </c>
      <c r="F90">
        <v>1</v>
      </c>
    </row>
    <row r="91" spans="1:6" x14ac:dyDescent="0.35">
      <c r="A91" s="1" t="s">
        <v>90</v>
      </c>
      <c r="B91">
        <v>1</v>
      </c>
      <c r="C91">
        <v>1</v>
      </c>
      <c r="F91">
        <v>0.99999999999999978</v>
      </c>
    </row>
    <row r="92" spans="1:6" x14ac:dyDescent="0.35">
      <c r="A92" s="1" t="s">
        <v>92</v>
      </c>
      <c r="B92">
        <v>1</v>
      </c>
      <c r="C92">
        <v>1</v>
      </c>
      <c r="D92">
        <v>1</v>
      </c>
      <c r="F92">
        <v>1</v>
      </c>
    </row>
    <row r="93" spans="1:6" x14ac:dyDescent="0.35">
      <c r="A93" s="1" t="s">
        <v>93</v>
      </c>
      <c r="D93">
        <v>0.99999999999999933</v>
      </c>
      <c r="F93">
        <v>1</v>
      </c>
    </row>
    <row r="94" spans="1:6" x14ac:dyDescent="0.35">
      <c r="A94" s="1" t="s">
        <v>94</v>
      </c>
      <c r="D94">
        <v>1</v>
      </c>
      <c r="F94">
        <v>1</v>
      </c>
    </row>
    <row r="95" spans="1:6" x14ac:dyDescent="0.35">
      <c r="A95" s="1" t="s">
        <v>95</v>
      </c>
      <c r="B95">
        <v>1</v>
      </c>
      <c r="C95">
        <v>1</v>
      </c>
      <c r="D95">
        <v>1</v>
      </c>
      <c r="E95">
        <v>1</v>
      </c>
    </row>
    <row r="96" spans="1:6" x14ac:dyDescent="0.35">
      <c r="A96" s="1" t="s">
        <v>96</v>
      </c>
      <c r="F96">
        <v>1</v>
      </c>
    </row>
    <row r="97" spans="1:6" x14ac:dyDescent="0.35">
      <c r="A97" s="1" t="s">
        <v>97</v>
      </c>
      <c r="B97">
        <v>1</v>
      </c>
      <c r="C97">
        <v>1</v>
      </c>
      <c r="D97">
        <v>1</v>
      </c>
      <c r="E97">
        <v>1</v>
      </c>
    </row>
    <row r="98" spans="1:6" x14ac:dyDescent="0.35">
      <c r="A98" s="1" t="s">
        <v>98</v>
      </c>
      <c r="B98">
        <v>1</v>
      </c>
      <c r="C98">
        <v>1</v>
      </c>
      <c r="E98">
        <v>1</v>
      </c>
      <c r="F98">
        <v>1</v>
      </c>
    </row>
    <row r="99" spans="1:6" x14ac:dyDescent="0.35">
      <c r="A99" s="1" t="s">
        <v>99</v>
      </c>
      <c r="C99">
        <v>1</v>
      </c>
      <c r="E99">
        <v>1</v>
      </c>
    </row>
    <row r="100" spans="1:6" x14ac:dyDescent="0.35">
      <c r="A100" s="1" t="s">
        <v>101</v>
      </c>
      <c r="B100">
        <v>1</v>
      </c>
      <c r="C100">
        <v>1</v>
      </c>
      <c r="E100">
        <v>1</v>
      </c>
    </row>
    <row r="101" spans="1:6" x14ac:dyDescent="0.35">
      <c r="A101" s="1" t="s">
        <v>102</v>
      </c>
      <c r="C101">
        <v>1</v>
      </c>
      <c r="D101">
        <v>1</v>
      </c>
    </row>
    <row r="102" spans="1:6" x14ac:dyDescent="0.35">
      <c r="A102" s="1" t="s">
        <v>103</v>
      </c>
      <c r="B102">
        <v>1</v>
      </c>
      <c r="C102">
        <v>1</v>
      </c>
      <c r="D102">
        <v>1</v>
      </c>
      <c r="F102">
        <v>1</v>
      </c>
    </row>
    <row r="103" spans="1:6" x14ac:dyDescent="0.35">
      <c r="A103" s="1" t="s">
        <v>104</v>
      </c>
      <c r="D103">
        <v>1</v>
      </c>
      <c r="F103">
        <v>1</v>
      </c>
    </row>
    <row r="104" spans="1:6" x14ac:dyDescent="0.35">
      <c r="A104" s="1" t="s">
        <v>105</v>
      </c>
      <c r="B104">
        <v>1</v>
      </c>
      <c r="E104">
        <v>1</v>
      </c>
    </row>
    <row r="105" spans="1:6" x14ac:dyDescent="0.35">
      <c r="A105" s="1" t="s">
        <v>106</v>
      </c>
      <c r="B105">
        <v>1</v>
      </c>
      <c r="C105">
        <v>1</v>
      </c>
      <c r="D105">
        <v>5.9490757572797492E-16</v>
      </c>
      <c r="E105">
        <v>1</v>
      </c>
    </row>
    <row r="106" spans="1:6" x14ac:dyDescent="0.35">
      <c r="A106" s="1" t="s">
        <v>107</v>
      </c>
      <c r="E106">
        <v>1</v>
      </c>
    </row>
    <row r="107" spans="1:6" x14ac:dyDescent="0.35">
      <c r="A107" s="1" t="s">
        <v>108</v>
      </c>
      <c r="B107">
        <v>1</v>
      </c>
      <c r="C107">
        <v>1</v>
      </c>
      <c r="D107">
        <v>1</v>
      </c>
    </row>
    <row r="108" spans="1:6" x14ac:dyDescent="0.35">
      <c r="A108" s="1" t="s">
        <v>109</v>
      </c>
      <c r="C108">
        <v>1</v>
      </c>
      <c r="D108">
        <v>1</v>
      </c>
      <c r="E108">
        <v>1</v>
      </c>
      <c r="F108">
        <v>1</v>
      </c>
    </row>
    <row r="109" spans="1:6" x14ac:dyDescent="0.35">
      <c r="A109" s="1" t="s">
        <v>110</v>
      </c>
      <c r="F109">
        <v>1</v>
      </c>
    </row>
    <row r="110" spans="1:6" x14ac:dyDescent="0.35">
      <c r="A110" s="1" t="s">
        <v>111</v>
      </c>
      <c r="B110">
        <v>1</v>
      </c>
      <c r="D110">
        <v>1</v>
      </c>
      <c r="F110">
        <v>0.99999999999999989</v>
      </c>
    </row>
    <row r="111" spans="1:6" x14ac:dyDescent="0.35">
      <c r="A111" s="1" t="s">
        <v>112</v>
      </c>
      <c r="B111">
        <v>1</v>
      </c>
      <c r="C111">
        <v>1</v>
      </c>
      <c r="D111">
        <v>1</v>
      </c>
    </row>
    <row r="112" spans="1:6" x14ac:dyDescent="0.35">
      <c r="A112" s="1" t="s">
        <v>113</v>
      </c>
      <c r="B112">
        <v>1</v>
      </c>
      <c r="C112">
        <v>1</v>
      </c>
      <c r="E112">
        <v>1</v>
      </c>
    </row>
    <row r="113" spans="1:6" x14ac:dyDescent="0.35">
      <c r="A113" s="1" t="s">
        <v>115</v>
      </c>
      <c r="D113">
        <v>0.99999999999999989</v>
      </c>
    </row>
    <row r="114" spans="1:6" x14ac:dyDescent="0.35">
      <c r="A114" s="1" t="s">
        <v>116</v>
      </c>
      <c r="B114">
        <v>1</v>
      </c>
      <c r="C114">
        <v>1</v>
      </c>
      <c r="D114">
        <v>1</v>
      </c>
      <c r="E114">
        <v>1</v>
      </c>
      <c r="F114">
        <v>1</v>
      </c>
    </row>
    <row r="115" spans="1:6" x14ac:dyDescent="0.35">
      <c r="A115" s="1" t="s">
        <v>117</v>
      </c>
      <c r="C115">
        <v>1</v>
      </c>
    </row>
    <row r="116" spans="1:6" x14ac:dyDescent="0.35">
      <c r="A116" s="1" t="s">
        <v>118</v>
      </c>
      <c r="E116">
        <v>1</v>
      </c>
      <c r="F116">
        <v>0.99999999999999989</v>
      </c>
    </row>
    <row r="117" spans="1:6" x14ac:dyDescent="0.35">
      <c r="A117" s="1" t="s">
        <v>119</v>
      </c>
      <c r="D117">
        <v>1</v>
      </c>
    </row>
    <row r="118" spans="1:6" x14ac:dyDescent="0.35">
      <c r="A118" s="1" t="s">
        <v>120</v>
      </c>
      <c r="B118">
        <v>1</v>
      </c>
    </row>
    <row r="119" spans="1:6" x14ac:dyDescent="0.35">
      <c r="A119" s="1" t="s">
        <v>121</v>
      </c>
      <c r="C119">
        <v>1</v>
      </c>
      <c r="D119">
        <v>1</v>
      </c>
    </row>
    <row r="120" spans="1:6" x14ac:dyDescent="0.35">
      <c r="A120" s="1" t="s">
        <v>122</v>
      </c>
      <c r="C120">
        <v>1</v>
      </c>
    </row>
    <row r="121" spans="1:6" x14ac:dyDescent="0.35">
      <c r="A121" s="1" t="s">
        <v>123</v>
      </c>
      <c r="B121">
        <v>1</v>
      </c>
      <c r="C121">
        <v>1</v>
      </c>
      <c r="E121">
        <v>1</v>
      </c>
      <c r="F121">
        <v>1</v>
      </c>
    </row>
    <row r="122" spans="1:6" x14ac:dyDescent="0.35">
      <c r="A122" s="1" t="s">
        <v>124</v>
      </c>
      <c r="B122">
        <v>1</v>
      </c>
      <c r="E122">
        <v>1</v>
      </c>
    </row>
    <row r="123" spans="1:6" x14ac:dyDescent="0.35">
      <c r="A123" s="1" t="s">
        <v>125</v>
      </c>
      <c r="B123">
        <v>1</v>
      </c>
      <c r="C123">
        <v>1</v>
      </c>
      <c r="D123">
        <v>1</v>
      </c>
      <c r="E123">
        <v>1</v>
      </c>
    </row>
    <row r="124" spans="1:6" x14ac:dyDescent="0.35">
      <c r="A124" s="1" t="s">
        <v>126</v>
      </c>
      <c r="B124">
        <v>0.99999999999999989</v>
      </c>
      <c r="E124">
        <v>1</v>
      </c>
      <c r="F124">
        <v>1</v>
      </c>
    </row>
    <row r="125" spans="1:6" x14ac:dyDescent="0.35">
      <c r="A125" s="1" t="s">
        <v>127</v>
      </c>
      <c r="E125">
        <v>1</v>
      </c>
    </row>
    <row r="126" spans="1:6" x14ac:dyDescent="0.35">
      <c r="A126" s="1" t="s">
        <v>128</v>
      </c>
      <c r="C126">
        <v>1</v>
      </c>
    </row>
    <row r="127" spans="1:6" x14ac:dyDescent="0.35">
      <c r="A127" s="1" t="s">
        <v>129</v>
      </c>
      <c r="B127">
        <v>1</v>
      </c>
      <c r="C127">
        <v>1</v>
      </c>
      <c r="E127">
        <v>1</v>
      </c>
    </row>
    <row r="128" spans="1:6" x14ac:dyDescent="0.35">
      <c r="A128" s="1" t="s">
        <v>130</v>
      </c>
      <c r="B128">
        <v>1</v>
      </c>
      <c r="C128">
        <v>1</v>
      </c>
    </row>
    <row r="129" spans="1:6" x14ac:dyDescent="0.35">
      <c r="A129" s="1" t="s">
        <v>131</v>
      </c>
      <c r="C129">
        <v>1</v>
      </c>
      <c r="D129">
        <v>0.99999999999999989</v>
      </c>
    </row>
    <row r="130" spans="1:6" x14ac:dyDescent="0.35">
      <c r="A130" s="1" t="s">
        <v>132</v>
      </c>
      <c r="C130">
        <v>1</v>
      </c>
      <c r="D130">
        <v>1</v>
      </c>
      <c r="E130">
        <v>1</v>
      </c>
      <c r="F130">
        <v>1</v>
      </c>
    </row>
    <row r="131" spans="1:6" x14ac:dyDescent="0.35">
      <c r="A131" s="1" t="s">
        <v>133</v>
      </c>
      <c r="B131">
        <v>0.99999999999999989</v>
      </c>
      <c r="D131">
        <v>1</v>
      </c>
      <c r="E131">
        <v>1</v>
      </c>
    </row>
    <row r="132" spans="1:6" x14ac:dyDescent="0.35">
      <c r="A132" s="1" t="s">
        <v>135</v>
      </c>
      <c r="C132">
        <v>0.99999999999999933</v>
      </c>
      <c r="E132">
        <v>1</v>
      </c>
      <c r="F132">
        <v>1</v>
      </c>
    </row>
    <row r="133" spans="1:6" x14ac:dyDescent="0.35">
      <c r="A133" s="1" t="s">
        <v>136</v>
      </c>
      <c r="B133">
        <v>0.99999999999999978</v>
      </c>
      <c r="C133">
        <v>1</v>
      </c>
      <c r="D133">
        <v>1</v>
      </c>
      <c r="E133">
        <v>1</v>
      </c>
    </row>
    <row r="134" spans="1:6" x14ac:dyDescent="0.35">
      <c r="A134" s="1" t="s">
        <v>137</v>
      </c>
      <c r="B134">
        <v>1</v>
      </c>
      <c r="C134">
        <v>1</v>
      </c>
      <c r="D134">
        <v>1</v>
      </c>
    </row>
    <row r="135" spans="1:6" x14ac:dyDescent="0.35">
      <c r="A135" s="1" t="s">
        <v>138</v>
      </c>
      <c r="B135">
        <v>1</v>
      </c>
    </row>
    <row r="136" spans="1:6" x14ac:dyDescent="0.35">
      <c r="A136" s="1" t="s">
        <v>139</v>
      </c>
      <c r="C136">
        <v>1</v>
      </c>
      <c r="E136">
        <v>1</v>
      </c>
      <c r="F136">
        <v>1.3881176766986086E-15</v>
      </c>
    </row>
    <row r="137" spans="1:6" x14ac:dyDescent="0.35">
      <c r="A137" s="1" t="s">
        <v>140</v>
      </c>
      <c r="C137">
        <v>1</v>
      </c>
      <c r="E137">
        <v>1</v>
      </c>
      <c r="F137">
        <v>1</v>
      </c>
    </row>
    <row r="138" spans="1:6" x14ac:dyDescent="0.35">
      <c r="A138" s="1" t="s">
        <v>141</v>
      </c>
      <c r="B138">
        <v>1</v>
      </c>
      <c r="C138">
        <v>1</v>
      </c>
      <c r="D138">
        <v>1</v>
      </c>
      <c r="E138">
        <v>1</v>
      </c>
      <c r="F138">
        <v>0.99999999999999989</v>
      </c>
    </row>
    <row r="139" spans="1:6" x14ac:dyDescent="0.35">
      <c r="A139" s="1" t="s">
        <v>142</v>
      </c>
      <c r="D139">
        <v>1</v>
      </c>
      <c r="F139">
        <v>1</v>
      </c>
    </row>
    <row r="140" spans="1:6" x14ac:dyDescent="0.35">
      <c r="A140" s="1" t="s">
        <v>143</v>
      </c>
      <c r="C140">
        <v>1</v>
      </c>
    </row>
    <row r="141" spans="1:6" x14ac:dyDescent="0.35">
      <c r="A141" s="1" t="s">
        <v>144</v>
      </c>
      <c r="B141">
        <v>1</v>
      </c>
      <c r="C141">
        <v>0.99999999999999956</v>
      </c>
      <c r="D141">
        <v>1</v>
      </c>
    </row>
    <row r="142" spans="1:6" x14ac:dyDescent="0.35">
      <c r="A142" s="1" t="s">
        <v>145</v>
      </c>
      <c r="C142">
        <v>1</v>
      </c>
      <c r="E142">
        <v>1</v>
      </c>
      <c r="F142">
        <v>1</v>
      </c>
    </row>
    <row r="143" spans="1:6" x14ac:dyDescent="0.35">
      <c r="A143" s="1" t="s">
        <v>146</v>
      </c>
      <c r="B143">
        <v>1</v>
      </c>
      <c r="C143">
        <v>1</v>
      </c>
      <c r="E143">
        <v>1</v>
      </c>
    </row>
    <row r="144" spans="1:6" x14ac:dyDescent="0.35">
      <c r="A144" s="1" t="s">
        <v>147</v>
      </c>
      <c r="B144">
        <v>1</v>
      </c>
      <c r="C144">
        <v>1</v>
      </c>
      <c r="D144">
        <v>1</v>
      </c>
      <c r="E144">
        <v>1</v>
      </c>
    </row>
    <row r="145" spans="1:6" x14ac:dyDescent="0.35">
      <c r="A145" s="1" t="s">
        <v>148</v>
      </c>
      <c r="C145">
        <v>1</v>
      </c>
      <c r="D145">
        <v>0.99999999999999989</v>
      </c>
      <c r="E145">
        <v>1</v>
      </c>
      <c r="F145">
        <v>1</v>
      </c>
    </row>
    <row r="146" spans="1:6" x14ac:dyDescent="0.35">
      <c r="A146" s="1" t="s">
        <v>149</v>
      </c>
      <c r="C146">
        <v>1</v>
      </c>
      <c r="D146">
        <v>1</v>
      </c>
    </row>
    <row r="147" spans="1:6" x14ac:dyDescent="0.35">
      <c r="A147" s="1" t="s">
        <v>150</v>
      </c>
      <c r="D147">
        <v>1</v>
      </c>
    </row>
    <row r="148" spans="1:6" x14ac:dyDescent="0.35">
      <c r="A148" s="1" t="s">
        <v>151</v>
      </c>
      <c r="C148">
        <v>1</v>
      </c>
      <c r="D148">
        <v>1</v>
      </c>
    </row>
    <row r="149" spans="1:6" x14ac:dyDescent="0.35">
      <c r="A149" s="1" t="s">
        <v>152</v>
      </c>
      <c r="C149">
        <v>1</v>
      </c>
      <c r="D149">
        <v>1</v>
      </c>
      <c r="E149">
        <v>1</v>
      </c>
      <c r="F149">
        <v>1</v>
      </c>
    </row>
    <row r="150" spans="1:6" x14ac:dyDescent="0.35">
      <c r="A150" s="1" t="s">
        <v>153</v>
      </c>
      <c r="B150">
        <v>1</v>
      </c>
      <c r="C150">
        <v>1</v>
      </c>
      <c r="E150">
        <v>1</v>
      </c>
      <c r="F150">
        <v>1</v>
      </c>
    </row>
    <row r="151" spans="1:6" x14ac:dyDescent="0.35">
      <c r="A151" s="1" t="s">
        <v>154</v>
      </c>
      <c r="B151">
        <v>1</v>
      </c>
      <c r="D151">
        <v>1</v>
      </c>
      <c r="F151">
        <v>1</v>
      </c>
    </row>
    <row r="152" spans="1:6" x14ac:dyDescent="0.35">
      <c r="A152" s="1" t="s">
        <v>155</v>
      </c>
      <c r="B152">
        <v>1</v>
      </c>
      <c r="C152">
        <v>1</v>
      </c>
      <c r="D152">
        <v>1</v>
      </c>
      <c r="F152">
        <v>1</v>
      </c>
    </row>
    <row r="153" spans="1:6" x14ac:dyDescent="0.35">
      <c r="A153" s="1" t="s">
        <v>156</v>
      </c>
      <c r="B153">
        <v>1</v>
      </c>
      <c r="E153">
        <v>1</v>
      </c>
    </row>
    <row r="154" spans="1:6" x14ac:dyDescent="0.35">
      <c r="A154" s="1" t="s">
        <v>157</v>
      </c>
      <c r="C154">
        <v>1</v>
      </c>
      <c r="E154">
        <v>1</v>
      </c>
      <c r="F154">
        <v>1</v>
      </c>
    </row>
    <row r="155" spans="1:6" x14ac:dyDescent="0.35">
      <c r="A155" s="1" t="s">
        <v>158</v>
      </c>
      <c r="D155">
        <v>1</v>
      </c>
    </row>
    <row r="156" spans="1:6" x14ac:dyDescent="0.35">
      <c r="A156" s="1" t="s">
        <v>159</v>
      </c>
      <c r="B156">
        <v>1</v>
      </c>
      <c r="C156">
        <v>1</v>
      </c>
      <c r="D156">
        <v>1</v>
      </c>
      <c r="E156">
        <v>1</v>
      </c>
    </row>
    <row r="157" spans="1:6" x14ac:dyDescent="0.35">
      <c r="A157" s="1" t="s">
        <v>160</v>
      </c>
      <c r="C157">
        <v>1</v>
      </c>
      <c r="E157">
        <v>1</v>
      </c>
    </row>
    <row r="158" spans="1:6" x14ac:dyDescent="0.35">
      <c r="A158" s="1" t="s">
        <v>161</v>
      </c>
      <c r="D158">
        <v>1</v>
      </c>
    </row>
    <row r="159" spans="1:6" x14ac:dyDescent="0.35">
      <c r="A159" s="1" t="s">
        <v>162</v>
      </c>
      <c r="B159">
        <v>1</v>
      </c>
    </row>
    <row r="160" spans="1:6" x14ac:dyDescent="0.35">
      <c r="A160" s="1" t="s">
        <v>163</v>
      </c>
      <c r="D160">
        <v>1</v>
      </c>
      <c r="F160">
        <v>1</v>
      </c>
    </row>
    <row r="161" spans="1:6" x14ac:dyDescent="0.35">
      <c r="A161" s="1" t="s">
        <v>164</v>
      </c>
      <c r="B161">
        <v>1</v>
      </c>
    </row>
    <row r="162" spans="1:6" x14ac:dyDescent="0.35">
      <c r="A162" s="1" t="s">
        <v>165</v>
      </c>
      <c r="B162">
        <v>1</v>
      </c>
      <c r="C162">
        <v>1</v>
      </c>
    </row>
    <row r="163" spans="1:6" x14ac:dyDescent="0.35">
      <c r="A163" s="1" t="s">
        <v>166</v>
      </c>
      <c r="D163">
        <v>1</v>
      </c>
    </row>
    <row r="164" spans="1:6" x14ac:dyDescent="0.35">
      <c r="A164" s="1" t="s">
        <v>167</v>
      </c>
      <c r="B164">
        <v>1</v>
      </c>
      <c r="C164">
        <v>1</v>
      </c>
      <c r="E164">
        <v>1</v>
      </c>
    </row>
    <row r="165" spans="1:6" x14ac:dyDescent="0.35">
      <c r="A165" s="1" t="s">
        <v>168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169</v>
      </c>
      <c r="C166">
        <v>1</v>
      </c>
      <c r="E166">
        <v>1</v>
      </c>
      <c r="F166">
        <v>1</v>
      </c>
    </row>
    <row r="167" spans="1:6" x14ac:dyDescent="0.35">
      <c r="A167" s="1" t="s">
        <v>170</v>
      </c>
      <c r="B167">
        <v>0.99999999999999989</v>
      </c>
      <c r="C167">
        <v>1</v>
      </c>
      <c r="D167">
        <v>1</v>
      </c>
      <c r="F167">
        <v>1</v>
      </c>
    </row>
    <row r="168" spans="1:6" x14ac:dyDescent="0.35">
      <c r="A168" s="1" t="s">
        <v>171</v>
      </c>
      <c r="B168">
        <v>1</v>
      </c>
      <c r="C168">
        <v>1</v>
      </c>
      <c r="E168">
        <v>1</v>
      </c>
    </row>
    <row r="169" spans="1:6" x14ac:dyDescent="0.35">
      <c r="A169" s="1" t="s">
        <v>172</v>
      </c>
      <c r="C169">
        <v>1</v>
      </c>
      <c r="D169">
        <v>1</v>
      </c>
    </row>
    <row r="170" spans="1:6" x14ac:dyDescent="0.35">
      <c r="A170" s="1" t="s">
        <v>173</v>
      </c>
      <c r="E170">
        <v>1</v>
      </c>
    </row>
    <row r="171" spans="1:6" x14ac:dyDescent="0.35">
      <c r="A171" s="1" t="s">
        <v>174</v>
      </c>
      <c r="C171">
        <v>1</v>
      </c>
      <c r="D171">
        <v>1</v>
      </c>
      <c r="E171">
        <v>1</v>
      </c>
    </row>
    <row r="172" spans="1:6" x14ac:dyDescent="0.35">
      <c r="A172" s="1" t="s">
        <v>175</v>
      </c>
      <c r="B172">
        <v>1</v>
      </c>
      <c r="E172">
        <v>1</v>
      </c>
      <c r="F172">
        <v>0.99999999999999989</v>
      </c>
    </row>
    <row r="173" spans="1:6" x14ac:dyDescent="0.35">
      <c r="A173" s="1" t="s">
        <v>176</v>
      </c>
      <c r="D173">
        <v>1</v>
      </c>
    </row>
    <row r="174" spans="1:6" x14ac:dyDescent="0.35">
      <c r="A174" s="1" t="s">
        <v>177</v>
      </c>
      <c r="D174">
        <v>1</v>
      </c>
    </row>
    <row r="175" spans="1:6" x14ac:dyDescent="0.35">
      <c r="A175" s="1" t="s">
        <v>178</v>
      </c>
      <c r="B175">
        <v>1</v>
      </c>
      <c r="D175">
        <v>1</v>
      </c>
      <c r="E175">
        <v>1</v>
      </c>
    </row>
    <row r="176" spans="1:6" x14ac:dyDescent="0.35">
      <c r="A176" s="1" t="s">
        <v>179</v>
      </c>
      <c r="B176">
        <v>1</v>
      </c>
      <c r="C176">
        <v>1</v>
      </c>
      <c r="E176">
        <v>1</v>
      </c>
    </row>
    <row r="177" spans="1:6" x14ac:dyDescent="0.35">
      <c r="A177" s="1" t="s">
        <v>180</v>
      </c>
      <c r="C177">
        <v>1</v>
      </c>
    </row>
    <row r="178" spans="1:6" x14ac:dyDescent="0.35">
      <c r="A178" s="1" t="s">
        <v>181</v>
      </c>
      <c r="C178">
        <v>1</v>
      </c>
      <c r="F178">
        <v>1</v>
      </c>
    </row>
    <row r="179" spans="1:6" x14ac:dyDescent="0.35">
      <c r="A179" s="1" t="s">
        <v>182</v>
      </c>
      <c r="C179">
        <v>1</v>
      </c>
      <c r="D179">
        <v>0.99999999999999989</v>
      </c>
      <c r="E179">
        <v>1</v>
      </c>
    </row>
    <row r="180" spans="1:6" x14ac:dyDescent="0.35">
      <c r="A180" s="1" t="s">
        <v>183</v>
      </c>
      <c r="D180">
        <v>1</v>
      </c>
      <c r="F180">
        <v>1</v>
      </c>
    </row>
    <row r="181" spans="1:6" x14ac:dyDescent="0.35">
      <c r="A181" s="1" t="s">
        <v>184</v>
      </c>
      <c r="B181">
        <v>1</v>
      </c>
      <c r="C181">
        <v>1</v>
      </c>
      <c r="F181">
        <v>1</v>
      </c>
    </row>
    <row r="182" spans="1:6" x14ac:dyDescent="0.35">
      <c r="A182" s="1" t="s">
        <v>185</v>
      </c>
      <c r="C182">
        <v>1</v>
      </c>
    </row>
    <row r="183" spans="1:6" x14ac:dyDescent="0.35">
      <c r="A183" s="1" t="s">
        <v>186</v>
      </c>
      <c r="C183">
        <v>1</v>
      </c>
    </row>
    <row r="184" spans="1:6" x14ac:dyDescent="0.35">
      <c r="A184" s="1" t="s">
        <v>187</v>
      </c>
      <c r="B184">
        <v>1</v>
      </c>
      <c r="C184">
        <v>1</v>
      </c>
      <c r="D184">
        <v>1</v>
      </c>
      <c r="E184">
        <v>1</v>
      </c>
    </row>
    <row r="185" spans="1:6" x14ac:dyDescent="0.35">
      <c r="A185" s="1" t="s">
        <v>188</v>
      </c>
      <c r="B185">
        <v>0.99999999999999989</v>
      </c>
      <c r="F185">
        <v>1</v>
      </c>
    </row>
    <row r="186" spans="1:6" x14ac:dyDescent="0.35">
      <c r="A186" s="1" t="s">
        <v>189</v>
      </c>
      <c r="B186">
        <v>1</v>
      </c>
    </row>
    <row r="187" spans="1:6" x14ac:dyDescent="0.35">
      <c r="A187" s="1" t="s">
        <v>191</v>
      </c>
      <c r="D187">
        <v>1</v>
      </c>
    </row>
    <row r="188" spans="1:6" x14ac:dyDescent="0.35">
      <c r="A188" s="1" t="s">
        <v>192</v>
      </c>
      <c r="B188">
        <v>1</v>
      </c>
      <c r="F188">
        <v>1</v>
      </c>
    </row>
    <row r="189" spans="1:6" x14ac:dyDescent="0.35">
      <c r="A189" s="1" t="s">
        <v>193</v>
      </c>
      <c r="B189">
        <v>1</v>
      </c>
      <c r="D189">
        <v>1</v>
      </c>
    </row>
    <row r="190" spans="1:6" x14ac:dyDescent="0.35">
      <c r="A190" s="1" t="s">
        <v>194</v>
      </c>
      <c r="B190">
        <v>1</v>
      </c>
      <c r="D190">
        <v>1</v>
      </c>
      <c r="E190">
        <v>1</v>
      </c>
      <c r="F190">
        <v>1</v>
      </c>
    </row>
    <row r="191" spans="1:6" x14ac:dyDescent="0.35">
      <c r="A191" s="1" t="s">
        <v>195</v>
      </c>
      <c r="F191">
        <v>1</v>
      </c>
    </row>
    <row r="192" spans="1:6" x14ac:dyDescent="0.35">
      <c r="A192" s="1" t="s">
        <v>196</v>
      </c>
      <c r="D192">
        <v>1</v>
      </c>
      <c r="F192">
        <v>1</v>
      </c>
    </row>
    <row r="193" spans="1:6" x14ac:dyDescent="0.35">
      <c r="A193" s="1" t="s">
        <v>197</v>
      </c>
      <c r="B193">
        <v>1</v>
      </c>
      <c r="C193">
        <v>1</v>
      </c>
    </row>
    <row r="194" spans="1:6" x14ac:dyDescent="0.35">
      <c r="A194" s="1" t="s">
        <v>198</v>
      </c>
      <c r="C194">
        <v>1</v>
      </c>
      <c r="E194">
        <v>1</v>
      </c>
    </row>
    <row r="195" spans="1:6" x14ac:dyDescent="0.35">
      <c r="A195" s="1" t="s">
        <v>199</v>
      </c>
      <c r="D195">
        <v>1</v>
      </c>
    </row>
    <row r="196" spans="1:6" x14ac:dyDescent="0.35">
      <c r="A196" s="1" t="s">
        <v>200</v>
      </c>
      <c r="B196">
        <v>1</v>
      </c>
      <c r="D196">
        <v>1</v>
      </c>
      <c r="E196">
        <v>1</v>
      </c>
    </row>
    <row r="197" spans="1:6" x14ac:dyDescent="0.35">
      <c r="A197" s="1" t="s">
        <v>201</v>
      </c>
      <c r="B197">
        <v>1</v>
      </c>
      <c r="D197">
        <v>1</v>
      </c>
      <c r="F197">
        <v>0.99999999999999978</v>
      </c>
    </row>
    <row r="198" spans="1:6" x14ac:dyDescent="0.35">
      <c r="A198" s="1" t="s">
        <v>202</v>
      </c>
      <c r="D198">
        <v>1</v>
      </c>
    </row>
    <row r="199" spans="1:6" x14ac:dyDescent="0.35">
      <c r="A199" s="1" t="s">
        <v>203</v>
      </c>
      <c r="B199">
        <v>1</v>
      </c>
      <c r="C199">
        <v>1</v>
      </c>
      <c r="E199">
        <v>1</v>
      </c>
      <c r="F199">
        <v>1</v>
      </c>
    </row>
    <row r="200" spans="1:6" x14ac:dyDescent="0.35">
      <c r="A200" s="1" t="s">
        <v>204</v>
      </c>
      <c r="B200">
        <v>1</v>
      </c>
      <c r="D200">
        <v>1</v>
      </c>
    </row>
    <row r="201" spans="1:6" x14ac:dyDescent="0.35">
      <c r="A201" s="1" t="s">
        <v>206</v>
      </c>
      <c r="C201">
        <v>1</v>
      </c>
      <c r="D201">
        <v>1</v>
      </c>
      <c r="E201">
        <v>1</v>
      </c>
    </row>
    <row r="202" spans="1:6" x14ac:dyDescent="0.35">
      <c r="A202" s="1" t="s">
        <v>207</v>
      </c>
      <c r="F202">
        <v>1</v>
      </c>
    </row>
    <row r="203" spans="1:6" x14ac:dyDescent="0.35">
      <c r="A203" s="1" t="s">
        <v>208</v>
      </c>
      <c r="B203">
        <v>1</v>
      </c>
      <c r="D203">
        <v>1</v>
      </c>
    </row>
    <row r="204" spans="1:6" x14ac:dyDescent="0.35">
      <c r="A204" s="1" t="s">
        <v>209</v>
      </c>
      <c r="B204">
        <v>1</v>
      </c>
      <c r="C204">
        <v>5.1442008018830787E-16</v>
      </c>
    </row>
    <row r="205" spans="1:6" x14ac:dyDescent="0.35">
      <c r="A205" s="1" t="s">
        <v>210</v>
      </c>
      <c r="B205">
        <v>1</v>
      </c>
      <c r="C205">
        <v>1</v>
      </c>
      <c r="E205">
        <v>1</v>
      </c>
    </row>
    <row r="206" spans="1:6" x14ac:dyDescent="0.35">
      <c r="A206" s="1" t="s">
        <v>211</v>
      </c>
      <c r="B206">
        <v>1</v>
      </c>
      <c r="C206">
        <v>1</v>
      </c>
      <c r="D206">
        <v>1</v>
      </c>
      <c r="E206">
        <v>1</v>
      </c>
      <c r="F206">
        <v>1</v>
      </c>
    </row>
    <row r="207" spans="1:6" x14ac:dyDescent="0.35">
      <c r="A207" s="1" t="s">
        <v>212</v>
      </c>
      <c r="B207">
        <v>1</v>
      </c>
      <c r="C207">
        <v>1</v>
      </c>
      <c r="F207">
        <v>1</v>
      </c>
    </row>
    <row r="208" spans="1:6" x14ac:dyDescent="0.35">
      <c r="A208" s="1" t="s">
        <v>213</v>
      </c>
      <c r="B208">
        <v>0.99999999999999978</v>
      </c>
      <c r="C208">
        <v>1</v>
      </c>
      <c r="D208">
        <v>1</v>
      </c>
    </row>
    <row r="209" spans="1:6" x14ac:dyDescent="0.35">
      <c r="A209" s="1" t="s">
        <v>215</v>
      </c>
      <c r="D209">
        <v>1</v>
      </c>
      <c r="E209">
        <v>1</v>
      </c>
      <c r="F209">
        <v>1</v>
      </c>
    </row>
    <row r="210" spans="1:6" x14ac:dyDescent="0.35">
      <c r="A210" s="1" t="s">
        <v>216</v>
      </c>
      <c r="B210">
        <v>1</v>
      </c>
      <c r="C210">
        <v>1</v>
      </c>
      <c r="E210">
        <v>1</v>
      </c>
      <c r="F210">
        <v>0.99999999999999978</v>
      </c>
    </row>
    <row r="211" spans="1:6" x14ac:dyDescent="0.35">
      <c r="A211" s="1" t="s">
        <v>217</v>
      </c>
      <c r="B211">
        <v>1</v>
      </c>
      <c r="E211">
        <v>1</v>
      </c>
    </row>
    <row r="212" spans="1:6" x14ac:dyDescent="0.35">
      <c r="A212" s="1" t="s">
        <v>218</v>
      </c>
      <c r="B212">
        <v>1</v>
      </c>
      <c r="C212">
        <v>1</v>
      </c>
      <c r="E212">
        <v>1</v>
      </c>
      <c r="F212">
        <v>1</v>
      </c>
    </row>
    <row r="213" spans="1:6" x14ac:dyDescent="0.35">
      <c r="A213" s="1" t="s">
        <v>219</v>
      </c>
      <c r="C213">
        <v>1</v>
      </c>
      <c r="D213">
        <v>1</v>
      </c>
      <c r="E213">
        <v>1</v>
      </c>
      <c r="F213">
        <v>1</v>
      </c>
    </row>
    <row r="214" spans="1:6" x14ac:dyDescent="0.35">
      <c r="A214" s="1" t="s">
        <v>220</v>
      </c>
      <c r="C214">
        <v>1</v>
      </c>
      <c r="E214">
        <v>1</v>
      </c>
    </row>
    <row r="215" spans="1:6" x14ac:dyDescent="0.35">
      <c r="A215" s="1" t="s">
        <v>221</v>
      </c>
      <c r="B215">
        <v>1</v>
      </c>
      <c r="C215">
        <v>1</v>
      </c>
      <c r="D215">
        <v>1</v>
      </c>
    </row>
    <row r="216" spans="1:6" x14ac:dyDescent="0.35">
      <c r="A216" s="1" t="s">
        <v>222</v>
      </c>
      <c r="C216">
        <v>1</v>
      </c>
      <c r="D216">
        <v>1</v>
      </c>
      <c r="E216">
        <v>1</v>
      </c>
    </row>
    <row r="217" spans="1:6" x14ac:dyDescent="0.35">
      <c r="A217" s="1" t="s">
        <v>223</v>
      </c>
      <c r="D217">
        <v>1</v>
      </c>
      <c r="E217">
        <v>1</v>
      </c>
    </row>
    <row r="218" spans="1:6" x14ac:dyDescent="0.35">
      <c r="A218" s="1" t="s">
        <v>224</v>
      </c>
      <c r="B218">
        <v>1</v>
      </c>
      <c r="C218">
        <v>1</v>
      </c>
      <c r="D218">
        <v>0.99999999999999978</v>
      </c>
    </row>
    <row r="219" spans="1:6" x14ac:dyDescent="0.35">
      <c r="A219" s="1" t="s">
        <v>225</v>
      </c>
      <c r="B219">
        <v>1</v>
      </c>
      <c r="D219">
        <v>1</v>
      </c>
      <c r="E219">
        <v>1</v>
      </c>
    </row>
    <row r="220" spans="1:6" x14ac:dyDescent="0.35">
      <c r="A220" s="1" t="s">
        <v>226</v>
      </c>
      <c r="B220">
        <v>1</v>
      </c>
      <c r="C220">
        <v>1</v>
      </c>
    </row>
    <row r="221" spans="1:6" x14ac:dyDescent="0.35">
      <c r="A221" s="1" t="s">
        <v>227</v>
      </c>
      <c r="B221">
        <v>1</v>
      </c>
      <c r="E221">
        <v>1</v>
      </c>
      <c r="F221">
        <v>1</v>
      </c>
    </row>
    <row r="222" spans="1:6" x14ac:dyDescent="0.35">
      <c r="A222" s="1" t="s">
        <v>229</v>
      </c>
      <c r="B222">
        <v>0.99999999999999989</v>
      </c>
      <c r="F222">
        <v>1</v>
      </c>
    </row>
    <row r="223" spans="1:6" x14ac:dyDescent="0.35">
      <c r="A223" s="1" t="s">
        <v>230</v>
      </c>
      <c r="B223">
        <v>1</v>
      </c>
      <c r="C223">
        <v>1</v>
      </c>
      <c r="D223">
        <v>0.99999999999999989</v>
      </c>
      <c r="F223">
        <v>1</v>
      </c>
    </row>
    <row r="224" spans="1:6" x14ac:dyDescent="0.35">
      <c r="A224" s="1" t="s">
        <v>231</v>
      </c>
      <c r="B224">
        <v>1</v>
      </c>
      <c r="C224">
        <v>1</v>
      </c>
      <c r="D224">
        <v>1</v>
      </c>
      <c r="F224">
        <v>1</v>
      </c>
    </row>
    <row r="225" spans="1:6" x14ac:dyDescent="0.35">
      <c r="A225" s="1" t="s">
        <v>232</v>
      </c>
      <c r="B225">
        <v>1</v>
      </c>
      <c r="D225">
        <v>1</v>
      </c>
      <c r="F225">
        <v>1</v>
      </c>
    </row>
    <row r="226" spans="1:6" x14ac:dyDescent="0.35">
      <c r="A226" s="1" t="s">
        <v>233</v>
      </c>
      <c r="B226">
        <v>1</v>
      </c>
      <c r="C226">
        <v>1</v>
      </c>
      <c r="F226">
        <v>1</v>
      </c>
    </row>
    <row r="227" spans="1:6" x14ac:dyDescent="0.35">
      <c r="A227" s="1" t="s">
        <v>234</v>
      </c>
      <c r="C227">
        <v>1</v>
      </c>
      <c r="D227">
        <v>0.99999999999999989</v>
      </c>
      <c r="E227">
        <v>1</v>
      </c>
      <c r="F227">
        <v>0.99999999999999989</v>
      </c>
    </row>
    <row r="228" spans="1:6" x14ac:dyDescent="0.35">
      <c r="A228" s="1" t="s">
        <v>235</v>
      </c>
      <c r="C228">
        <v>1</v>
      </c>
    </row>
    <row r="229" spans="1:6" x14ac:dyDescent="0.35">
      <c r="A229" s="1" t="s">
        <v>238</v>
      </c>
      <c r="B229">
        <v>1</v>
      </c>
    </row>
    <row r="230" spans="1:6" x14ac:dyDescent="0.35">
      <c r="A230" s="1" t="s">
        <v>239</v>
      </c>
      <c r="B230">
        <v>1</v>
      </c>
      <c r="C230">
        <v>1</v>
      </c>
      <c r="F230">
        <v>0.99999999999999967</v>
      </c>
    </row>
    <row r="231" spans="1:6" x14ac:dyDescent="0.35">
      <c r="A231" s="1" t="s">
        <v>240</v>
      </c>
      <c r="B231">
        <v>1</v>
      </c>
      <c r="C231">
        <v>1</v>
      </c>
      <c r="E231">
        <v>1</v>
      </c>
      <c r="F231">
        <v>1</v>
      </c>
    </row>
    <row r="232" spans="1:6" x14ac:dyDescent="0.35">
      <c r="A232" s="1" t="s">
        <v>241</v>
      </c>
      <c r="B232">
        <v>1</v>
      </c>
      <c r="F232">
        <v>1</v>
      </c>
    </row>
    <row r="233" spans="1:6" x14ac:dyDescent="0.35">
      <c r="A233" s="1" t="s">
        <v>242</v>
      </c>
      <c r="B233">
        <v>1</v>
      </c>
      <c r="E233">
        <v>1</v>
      </c>
      <c r="F233">
        <v>1</v>
      </c>
    </row>
    <row r="234" spans="1:6" x14ac:dyDescent="0.35">
      <c r="A234" s="1" t="s">
        <v>243</v>
      </c>
      <c r="C234">
        <v>1</v>
      </c>
      <c r="E234">
        <v>1</v>
      </c>
      <c r="F234">
        <v>1</v>
      </c>
    </row>
    <row r="235" spans="1:6" x14ac:dyDescent="0.35">
      <c r="A235" s="1" t="s">
        <v>244</v>
      </c>
      <c r="B235">
        <v>1</v>
      </c>
      <c r="D235">
        <v>1</v>
      </c>
      <c r="F235">
        <v>1</v>
      </c>
    </row>
    <row r="236" spans="1:6" x14ac:dyDescent="0.35">
      <c r="A236" s="1" t="s">
        <v>246</v>
      </c>
      <c r="C236">
        <v>1</v>
      </c>
      <c r="F236">
        <v>1</v>
      </c>
    </row>
    <row r="237" spans="1:6" x14ac:dyDescent="0.35">
      <c r="A237" s="1" t="s">
        <v>247</v>
      </c>
      <c r="B237">
        <v>1</v>
      </c>
      <c r="E237">
        <v>1</v>
      </c>
    </row>
    <row r="238" spans="1:6" x14ac:dyDescent="0.35">
      <c r="A238" s="1" t="s">
        <v>248</v>
      </c>
      <c r="B238">
        <v>1</v>
      </c>
      <c r="C238">
        <v>1</v>
      </c>
      <c r="D238">
        <v>1</v>
      </c>
      <c r="E23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2ADD4-9DE2-45EC-9661-8526BFEDB289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>
        <v>4.4000000000000004</v>
      </c>
      <c r="D2">
        <v>1.2000000000000002</v>
      </c>
    </row>
    <row r="3" spans="1:6" x14ac:dyDescent="0.35">
      <c r="A3" s="1" t="s">
        <v>2</v>
      </c>
      <c r="C3">
        <v>0.4</v>
      </c>
      <c r="D3">
        <v>1.2000000000000002</v>
      </c>
    </row>
    <row r="4" spans="1:6" x14ac:dyDescent="0.35">
      <c r="A4" s="1" t="s">
        <v>3</v>
      </c>
      <c r="D4">
        <v>4</v>
      </c>
      <c r="F4">
        <v>4</v>
      </c>
    </row>
    <row r="5" spans="1:6" x14ac:dyDescent="0.35">
      <c r="A5" s="1" t="s">
        <v>5</v>
      </c>
      <c r="B5">
        <v>2</v>
      </c>
      <c r="C5">
        <v>2</v>
      </c>
    </row>
    <row r="6" spans="1:6" x14ac:dyDescent="0.35">
      <c r="A6" s="1" t="s">
        <v>6</v>
      </c>
      <c r="D6">
        <v>2.4000000000000004</v>
      </c>
      <c r="F6">
        <v>6.8000000000000007</v>
      </c>
    </row>
    <row r="7" spans="1:6" x14ac:dyDescent="0.35">
      <c r="A7" s="1" t="s">
        <v>7</v>
      </c>
      <c r="C7">
        <v>11.600000000000001</v>
      </c>
      <c r="D7">
        <v>7.2</v>
      </c>
      <c r="F7">
        <v>8</v>
      </c>
    </row>
    <row r="8" spans="1:6" x14ac:dyDescent="0.35">
      <c r="A8" s="1" t="s">
        <v>8</v>
      </c>
      <c r="B8">
        <v>11.200000000000001</v>
      </c>
      <c r="C8">
        <v>11.200000000000001</v>
      </c>
      <c r="D8">
        <v>0.4</v>
      </c>
    </row>
    <row r="9" spans="1:6" x14ac:dyDescent="0.35">
      <c r="A9" s="1" t="s">
        <v>9</v>
      </c>
      <c r="C9">
        <v>9.6000000000000014</v>
      </c>
      <c r="D9">
        <v>0.8</v>
      </c>
      <c r="E9">
        <v>6</v>
      </c>
      <c r="F9">
        <v>0.8</v>
      </c>
    </row>
    <row r="10" spans="1:6" x14ac:dyDescent="0.35">
      <c r="A10" s="1" t="s">
        <v>10</v>
      </c>
      <c r="C10">
        <v>2</v>
      </c>
      <c r="D10">
        <v>3.6</v>
      </c>
    </row>
    <row r="11" spans="1:6" x14ac:dyDescent="0.35">
      <c r="A11" s="1" t="s">
        <v>11</v>
      </c>
      <c r="C11">
        <v>11.200000000000001</v>
      </c>
      <c r="D11">
        <v>8.4</v>
      </c>
      <c r="E11">
        <v>11.600000000000001</v>
      </c>
    </row>
    <row r="12" spans="1:6" x14ac:dyDescent="0.35">
      <c r="A12" s="1" t="s">
        <v>12</v>
      </c>
      <c r="C12">
        <v>0.4</v>
      </c>
      <c r="D12">
        <v>8.8000000000000007</v>
      </c>
    </row>
    <row r="13" spans="1:6" x14ac:dyDescent="0.35">
      <c r="A13" s="1" t="s">
        <v>13</v>
      </c>
      <c r="D13">
        <v>1.6</v>
      </c>
      <c r="E13">
        <v>7.2</v>
      </c>
    </row>
    <row r="14" spans="1:6" x14ac:dyDescent="0.35">
      <c r="A14" s="1" t="s">
        <v>14</v>
      </c>
      <c r="C14">
        <v>2</v>
      </c>
      <c r="E14">
        <v>3.6</v>
      </c>
      <c r="F14">
        <v>0.8</v>
      </c>
    </row>
    <row r="15" spans="1:6" x14ac:dyDescent="0.35">
      <c r="A15" s="1" t="s">
        <v>15</v>
      </c>
      <c r="B15">
        <v>6</v>
      </c>
      <c r="D15">
        <v>6.4</v>
      </c>
      <c r="E15">
        <v>10.8</v>
      </c>
      <c r="F15">
        <v>9.6000000000000014</v>
      </c>
    </row>
    <row r="16" spans="1:6" x14ac:dyDescent="0.35">
      <c r="A16" s="1" t="s">
        <v>16</v>
      </c>
      <c r="B16">
        <v>6</v>
      </c>
    </row>
    <row r="17" spans="1:6" x14ac:dyDescent="0.35">
      <c r="A17" s="1" t="s">
        <v>17</v>
      </c>
      <c r="B17">
        <v>4.4000000000000004</v>
      </c>
      <c r="D17">
        <v>11.600000000000001</v>
      </c>
    </row>
    <row r="18" spans="1:6" x14ac:dyDescent="0.35">
      <c r="A18" s="1" t="s">
        <v>18</v>
      </c>
      <c r="B18">
        <v>7.6000000000000005</v>
      </c>
    </row>
    <row r="19" spans="1:6" x14ac:dyDescent="0.35">
      <c r="A19" s="1" t="s">
        <v>19</v>
      </c>
      <c r="C19">
        <v>4.8000000000000007</v>
      </c>
      <c r="F19">
        <v>6.4</v>
      </c>
    </row>
    <row r="20" spans="1:6" x14ac:dyDescent="0.35">
      <c r="A20" s="1" t="s">
        <v>20</v>
      </c>
      <c r="B20">
        <v>5.6000000000000005</v>
      </c>
      <c r="E20">
        <v>2.4000000000000004</v>
      </c>
      <c r="F20">
        <v>8</v>
      </c>
    </row>
    <row r="21" spans="1:6" x14ac:dyDescent="0.35">
      <c r="A21" s="1" t="s">
        <v>21</v>
      </c>
      <c r="B21">
        <v>7.2</v>
      </c>
      <c r="C21">
        <v>7.2</v>
      </c>
      <c r="D21">
        <v>0.8</v>
      </c>
      <c r="E21">
        <v>4.4000000000000004</v>
      </c>
      <c r="F21">
        <v>4.4000000000000004</v>
      </c>
    </row>
    <row r="22" spans="1:6" x14ac:dyDescent="0.35">
      <c r="A22" s="1" t="s">
        <v>22</v>
      </c>
      <c r="E22">
        <v>7.2</v>
      </c>
      <c r="F22">
        <v>6.8000000000000007</v>
      </c>
    </row>
    <row r="23" spans="1:6" x14ac:dyDescent="0.35">
      <c r="A23" s="1" t="s">
        <v>23</v>
      </c>
      <c r="D23">
        <v>10.8</v>
      </c>
      <c r="E23">
        <v>5.6000000000000005</v>
      </c>
      <c r="F23">
        <v>5.6000000000000005</v>
      </c>
    </row>
    <row r="24" spans="1:6" x14ac:dyDescent="0.35">
      <c r="A24" s="1" t="s">
        <v>25</v>
      </c>
      <c r="B24">
        <v>0.8</v>
      </c>
      <c r="C24">
        <v>0.8</v>
      </c>
      <c r="E24">
        <v>12</v>
      </c>
    </row>
    <row r="25" spans="1:6" x14ac:dyDescent="0.35">
      <c r="A25" s="1" t="s">
        <v>26</v>
      </c>
      <c r="B25">
        <v>1.2000000000000002</v>
      </c>
      <c r="C25">
        <v>1.2000000000000002</v>
      </c>
      <c r="D25">
        <v>5.6000000000000005</v>
      </c>
      <c r="E25">
        <v>0.4</v>
      </c>
      <c r="F25">
        <v>2</v>
      </c>
    </row>
    <row r="26" spans="1:6" x14ac:dyDescent="0.35">
      <c r="A26" s="1" t="s">
        <v>27</v>
      </c>
      <c r="C26">
        <v>10</v>
      </c>
      <c r="D26">
        <v>11.600000000000001</v>
      </c>
      <c r="E26">
        <v>8.4</v>
      </c>
    </row>
    <row r="27" spans="1:6" x14ac:dyDescent="0.35">
      <c r="A27" s="1" t="s">
        <v>28</v>
      </c>
      <c r="D27">
        <v>11.600000000000001</v>
      </c>
      <c r="F27">
        <v>11.600000000000001</v>
      </c>
    </row>
    <row r="28" spans="1:6" x14ac:dyDescent="0.35">
      <c r="A28" s="1" t="s">
        <v>29</v>
      </c>
      <c r="B28">
        <v>11.600000000000001</v>
      </c>
      <c r="C28">
        <v>11.600000000000001</v>
      </c>
      <c r="D28">
        <v>10.8</v>
      </c>
      <c r="E28">
        <v>10.8</v>
      </c>
      <c r="F28">
        <v>11.600000000000001</v>
      </c>
    </row>
    <row r="29" spans="1:6" x14ac:dyDescent="0.35">
      <c r="A29" s="1" t="s">
        <v>30</v>
      </c>
      <c r="B29">
        <v>11.600000000000001</v>
      </c>
      <c r="D29">
        <v>9.2000000000000011</v>
      </c>
    </row>
    <row r="30" spans="1:6" x14ac:dyDescent="0.35">
      <c r="A30" s="1" t="s">
        <v>31</v>
      </c>
      <c r="D30">
        <v>7.2</v>
      </c>
      <c r="E30">
        <v>7.2</v>
      </c>
      <c r="F30">
        <v>7.6000000000000005</v>
      </c>
    </row>
    <row r="31" spans="1:6" x14ac:dyDescent="0.35">
      <c r="A31" s="1" t="s">
        <v>32</v>
      </c>
      <c r="C31">
        <v>8</v>
      </c>
      <c r="D31">
        <v>7.2</v>
      </c>
      <c r="E31">
        <v>7.6000000000000005</v>
      </c>
    </row>
    <row r="32" spans="1:6" x14ac:dyDescent="0.35">
      <c r="A32" s="1" t="s">
        <v>34</v>
      </c>
      <c r="B32">
        <v>4.4000000000000004</v>
      </c>
    </row>
    <row r="33" spans="1:6" x14ac:dyDescent="0.35">
      <c r="A33" s="1" t="s">
        <v>35</v>
      </c>
      <c r="B33">
        <v>3.6</v>
      </c>
      <c r="C33">
        <v>3.6</v>
      </c>
      <c r="E33">
        <v>7.2</v>
      </c>
    </row>
    <row r="34" spans="1:6" x14ac:dyDescent="0.35">
      <c r="A34" s="1" t="s">
        <v>36</v>
      </c>
      <c r="C34">
        <v>11.600000000000001</v>
      </c>
      <c r="F34">
        <v>0.8</v>
      </c>
    </row>
    <row r="35" spans="1:6" x14ac:dyDescent="0.35">
      <c r="A35" s="1" t="s">
        <v>37</v>
      </c>
      <c r="C35">
        <v>7.2</v>
      </c>
      <c r="D35">
        <v>1.2000000000000002</v>
      </c>
    </row>
    <row r="36" spans="1:6" x14ac:dyDescent="0.35">
      <c r="A36" s="1" t="s">
        <v>38</v>
      </c>
      <c r="C36">
        <v>11.200000000000001</v>
      </c>
      <c r="D36">
        <v>9.2000000000000011</v>
      </c>
      <c r="E36">
        <v>8.4</v>
      </c>
      <c r="F36">
        <v>6.4</v>
      </c>
    </row>
    <row r="37" spans="1:6" x14ac:dyDescent="0.35">
      <c r="A37" s="1" t="s">
        <v>39</v>
      </c>
      <c r="D37">
        <v>12</v>
      </c>
      <c r="F37">
        <v>1.6</v>
      </c>
    </row>
    <row r="38" spans="1:6" x14ac:dyDescent="0.35">
      <c r="A38" s="1" t="s">
        <v>40</v>
      </c>
      <c r="C38">
        <v>1.6</v>
      </c>
      <c r="D38">
        <v>11.600000000000001</v>
      </c>
      <c r="F38">
        <v>4.4000000000000004</v>
      </c>
    </row>
    <row r="39" spans="1:6" x14ac:dyDescent="0.35">
      <c r="A39" s="1" t="s">
        <v>41</v>
      </c>
      <c r="B39">
        <v>3.6</v>
      </c>
      <c r="E39">
        <v>10.8</v>
      </c>
      <c r="F39">
        <v>2.8000000000000003</v>
      </c>
    </row>
    <row r="40" spans="1:6" x14ac:dyDescent="0.35">
      <c r="A40" s="1" t="s">
        <v>42</v>
      </c>
      <c r="B40">
        <v>1.2000000000000002</v>
      </c>
      <c r="C40">
        <v>1.2000000000000002</v>
      </c>
      <c r="D40">
        <v>6.8000000000000007</v>
      </c>
      <c r="F40">
        <v>6.8000000000000007</v>
      </c>
    </row>
    <row r="41" spans="1:6" x14ac:dyDescent="0.35">
      <c r="A41" s="1" t="s">
        <v>43</v>
      </c>
      <c r="B41">
        <v>9.6000000000000014</v>
      </c>
      <c r="C41">
        <v>9.6000000000000014</v>
      </c>
      <c r="E41">
        <v>9.2000000000000011</v>
      </c>
    </row>
    <row r="42" spans="1:6" x14ac:dyDescent="0.35">
      <c r="A42" s="1" t="s">
        <v>44</v>
      </c>
      <c r="C42">
        <v>9.2000000000000011</v>
      </c>
      <c r="E42">
        <v>7.6000000000000005</v>
      </c>
    </row>
    <row r="43" spans="1:6" x14ac:dyDescent="0.35">
      <c r="A43" s="1" t="s">
        <v>45</v>
      </c>
      <c r="C43">
        <v>4</v>
      </c>
      <c r="D43">
        <v>2.4000000000000004</v>
      </c>
      <c r="F43">
        <v>1.6</v>
      </c>
    </row>
    <row r="44" spans="1:6" x14ac:dyDescent="0.35">
      <c r="A44" s="1" t="s">
        <v>46</v>
      </c>
      <c r="F44">
        <v>1.6</v>
      </c>
    </row>
    <row r="45" spans="1:6" x14ac:dyDescent="0.35">
      <c r="A45" s="1" t="s">
        <v>47</v>
      </c>
      <c r="C45">
        <v>8.8000000000000007</v>
      </c>
    </row>
    <row r="46" spans="1:6" x14ac:dyDescent="0.35">
      <c r="A46" s="1" t="s">
        <v>48</v>
      </c>
      <c r="B46">
        <v>7.6000000000000005</v>
      </c>
      <c r="D46">
        <v>1.6</v>
      </c>
      <c r="F46">
        <v>8.8000000000000007</v>
      </c>
    </row>
    <row r="47" spans="1:6" x14ac:dyDescent="0.35">
      <c r="A47" s="1" t="s">
        <v>49</v>
      </c>
      <c r="B47">
        <v>11.200000000000001</v>
      </c>
      <c r="D47">
        <v>8</v>
      </c>
      <c r="E47">
        <v>1.2000000000000002</v>
      </c>
    </row>
    <row r="48" spans="1:6" x14ac:dyDescent="0.35">
      <c r="A48" s="1" t="s">
        <v>50</v>
      </c>
      <c r="B48">
        <v>4.8000000000000007</v>
      </c>
      <c r="D48">
        <v>3.6</v>
      </c>
      <c r="E48">
        <v>9.2000000000000011</v>
      </c>
    </row>
    <row r="49" spans="1:6" x14ac:dyDescent="0.35">
      <c r="A49" s="1" t="s">
        <v>51</v>
      </c>
      <c r="B49">
        <v>0.4</v>
      </c>
      <c r="C49">
        <v>0.4</v>
      </c>
      <c r="D49">
        <v>4.4000000000000004</v>
      </c>
      <c r="F49">
        <v>3.2</v>
      </c>
    </row>
    <row r="50" spans="1:6" x14ac:dyDescent="0.35">
      <c r="A50" s="1" t="s">
        <v>52</v>
      </c>
      <c r="B50">
        <v>7.6000000000000005</v>
      </c>
      <c r="C50">
        <v>7.6000000000000005</v>
      </c>
    </row>
    <row r="51" spans="1:6" x14ac:dyDescent="0.35">
      <c r="A51" s="1" t="s">
        <v>53</v>
      </c>
      <c r="D51">
        <v>10.4</v>
      </c>
      <c r="E51">
        <v>3.6</v>
      </c>
    </row>
    <row r="52" spans="1:6" x14ac:dyDescent="0.35">
      <c r="A52" s="1" t="s">
        <v>54</v>
      </c>
      <c r="B52">
        <v>2.8000000000000003</v>
      </c>
      <c r="C52">
        <v>2.8000000000000003</v>
      </c>
      <c r="D52">
        <v>7.2</v>
      </c>
    </row>
    <row r="53" spans="1:6" x14ac:dyDescent="0.35">
      <c r="A53" s="1" t="s">
        <v>55</v>
      </c>
      <c r="C53">
        <v>0.8</v>
      </c>
      <c r="F53">
        <v>3.2</v>
      </c>
    </row>
    <row r="54" spans="1:6" x14ac:dyDescent="0.35">
      <c r="A54" s="1" t="s">
        <v>56</v>
      </c>
      <c r="B54">
        <v>6.4</v>
      </c>
      <c r="C54">
        <v>6.4</v>
      </c>
      <c r="E54">
        <v>0.8</v>
      </c>
    </row>
    <row r="55" spans="1:6" x14ac:dyDescent="0.35">
      <c r="A55" s="1" t="s">
        <v>57</v>
      </c>
      <c r="C55">
        <v>0.8</v>
      </c>
      <c r="D55">
        <v>7.2</v>
      </c>
    </row>
    <row r="56" spans="1:6" x14ac:dyDescent="0.35">
      <c r="A56" s="1" t="s">
        <v>58</v>
      </c>
      <c r="B56">
        <v>11.600000000000001</v>
      </c>
      <c r="E56">
        <v>11.600000000000001</v>
      </c>
    </row>
    <row r="57" spans="1:6" x14ac:dyDescent="0.35">
      <c r="A57" s="1" t="s">
        <v>59</v>
      </c>
      <c r="E57">
        <v>9.6000000000000014</v>
      </c>
      <c r="F57">
        <v>7.2</v>
      </c>
    </row>
    <row r="58" spans="1:6" x14ac:dyDescent="0.35">
      <c r="A58" s="1" t="s">
        <v>60</v>
      </c>
      <c r="B58">
        <v>1.2000000000000002</v>
      </c>
      <c r="C58">
        <v>1.2000000000000002</v>
      </c>
      <c r="F58">
        <v>3.2</v>
      </c>
    </row>
    <row r="59" spans="1:6" x14ac:dyDescent="0.35">
      <c r="A59" s="1" t="s">
        <v>61</v>
      </c>
      <c r="B59">
        <v>6.4</v>
      </c>
      <c r="D59">
        <v>3.2</v>
      </c>
      <c r="E59">
        <v>8.4</v>
      </c>
    </row>
    <row r="60" spans="1:6" x14ac:dyDescent="0.35">
      <c r="A60" s="1" t="s">
        <v>62</v>
      </c>
      <c r="D60">
        <v>8.8000000000000007</v>
      </c>
      <c r="E60">
        <v>10.4</v>
      </c>
      <c r="F60">
        <v>8.4</v>
      </c>
    </row>
    <row r="61" spans="1:6" x14ac:dyDescent="0.35">
      <c r="A61" s="1" t="s">
        <v>63</v>
      </c>
      <c r="C61">
        <v>8</v>
      </c>
      <c r="D61">
        <v>7.2</v>
      </c>
      <c r="E61">
        <v>8.8000000000000007</v>
      </c>
    </row>
    <row r="62" spans="1:6" x14ac:dyDescent="0.35">
      <c r="A62" s="1" t="s">
        <v>64</v>
      </c>
      <c r="F62">
        <v>5.2</v>
      </c>
    </row>
    <row r="63" spans="1:6" x14ac:dyDescent="0.35">
      <c r="A63" s="1" t="s">
        <v>65</v>
      </c>
      <c r="B63">
        <v>1.6</v>
      </c>
      <c r="E63">
        <v>10.4</v>
      </c>
    </row>
    <row r="64" spans="1:6" x14ac:dyDescent="0.35">
      <c r="A64" s="1" t="s">
        <v>66</v>
      </c>
      <c r="B64">
        <v>9.6000000000000014</v>
      </c>
      <c r="C64">
        <v>9.6000000000000014</v>
      </c>
      <c r="F64">
        <v>7.2</v>
      </c>
    </row>
    <row r="65" spans="1:6" x14ac:dyDescent="0.35">
      <c r="A65" s="1" t="s">
        <v>67</v>
      </c>
      <c r="E65">
        <v>5.6000000000000005</v>
      </c>
    </row>
    <row r="66" spans="1:6" x14ac:dyDescent="0.35">
      <c r="A66" s="1" t="s">
        <v>68</v>
      </c>
      <c r="B66">
        <v>10</v>
      </c>
      <c r="D66">
        <v>0.8</v>
      </c>
    </row>
    <row r="67" spans="1:6" x14ac:dyDescent="0.35">
      <c r="A67" s="1" t="s">
        <v>69</v>
      </c>
      <c r="B67">
        <v>4.4000000000000004</v>
      </c>
      <c r="C67">
        <v>4.4000000000000004</v>
      </c>
    </row>
    <row r="68" spans="1:6" x14ac:dyDescent="0.35">
      <c r="A68" s="1" t="s">
        <v>70</v>
      </c>
      <c r="B68">
        <v>11.200000000000001</v>
      </c>
      <c r="E68">
        <v>0.4</v>
      </c>
    </row>
    <row r="69" spans="1:6" x14ac:dyDescent="0.35">
      <c r="A69" s="1" t="s">
        <v>71</v>
      </c>
      <c r="D69">
        <v>6.8000000000000007</v>
      </c>
      <c r="E69">
        <v>1.2000000000000002</v>
      </c>
      <c r="F69">
        <v>3.6</v>
      </c>
    </row>
    <row r="70" spans="1:6" x14ac:dyDescent="0.35">
      <c r="A70" s="1" t="s">
        <v>72</v>
      </c>
      <c r="B70">
        <v>1.2000000000000002</v>
      </c>
      <c r="C70">
        <v>1.2000000000000002</v>
      </c>
      <c r="F70">
        <v>11.200000000000001</v>
      </c>
    </row>
    <row r="71" spans="1:6" x14ac:dyDescent="0.35">
      <c r="A71" s="1" t="s">
        <v>73</v>
      </c>
      <c r="C71">
        <v>4.8000000000000007</v>
      </c>
      <c r="E71">
        <v>8.4</v>
      </c>
    </row>
    <row r="72" spans="1:6" x14ac:dyDescent="0.35">
      <c r="A72" s="1" t="s">
        <v>74</v>
      </c>
      <c r="D72">
        <v>5.6000000000000005</v>
      </c>
      <c r="E72">
        <v>8.4</v>
      </c>
      <c r="F72">
        <v>0.8</v>
      </c>
    </row>
    <row r="73" spans="1:6" x14ac:dyDescent="0.35">
      <c r="A73" s="1" t="s">
        <v>75</v>
      </c>
      <c r="B73">
        <v>3.2</v>
      </c>
      <c r="C73">
        <v>3.2</v>
      </c>
    </row>
    <row r="74" spans="1:6" x14ac:dyDescent="0.35">
      <c r="A74" s="1" t="s">
        <v>76</v>
      </c>
      <c r="B74">
        <v>0.4</v>
      </c>
    </row>
    <row r="75" spans="1:6" x14ac:dyDescent="0.35">
      <c r="A75" s="1" t="s">
        <v>77</v>
      </c>
      <c r="B75">
        <v>4</v>
      </c>
    </row>
    <row r="76" spans="1:6" x14ac:dyDescent="0.35">
      <c r="A76" s="1" t="s">
        <v>78</v>
      </c>
      <c r="B76">
        <v>11.200000000000001</v>
      </c>
      <c r="D76">
        <v>7.2</v>
      </c>
      <c r="F76">
        <v>5.2</v>
      </c>
    </row>
    <row r="77" spans="1:6" x14ac:dyDescent="0.35">
      <c r="A77" s="1" t="s">
        <v>79</v>
      </c>
      <c r="D77">
        <v>2.8000000000000003</v>
      </c>
      <c r="F77">
        <v>9.6000000000000014</v>
      </c>
    </row>
    <row r="78" spans="1:6" x14ac:dyDescent="0.35">
      <c r="A78" s="1" t="s">
        <v>80</v>
      </c>
      <c r="E78">
        <v>2</v>
      </c>
    </row>
    <row r="79" spans="1:6" x14ac:dyDescent="0.35">
      <c r="A79" s="1" t="s">
        <v>81</v>
      </c>
      <c r="C79">
        <v>8.4</v>
      </c>
      <c r="D79">
        <v>0.8</v>
      </c>
      <c r="E79">
        <v>6</v>
      </c>
      <c r="F79">
        <v>6</v>
      </c>
    </row>
    <row r="80" spans="1:6" x14ac:dyDescent="0.35">
      <c r="A80" s="1" t="s">
        <v>82</v>
      </c>
      <c r="B80">
        <v>8.4</v>
      </c>
      <c r="C80">
        <v>8.4</v>
      </c>
      <c r="D80">
        <v>0.8</v>
      </c>
    </row>
    <row r="81" spans="1:6" x14ac:dyDescent="0.35">
      <c r="A81" s="1" t="s">
        <v>83</v>
      </c>
      <c r="C81">
        <v>2.4000000000000004</v>
      </c>
      <c r="E81">
        <v>2</v>
      </c>
      <c r="F81">
        <v>6.4</v>
      </c>
    </row>
    <row r="82" spans="1:6" x14ac:dyDescent="0.35">
      <c r="A82" s="1" t="s">
        <v>84</v>
      </c>
      <c r="C82">
        <v>1.6</v>
      </c>
      <c r="F82">
        <v>11.600000000000001</v>
      </c>
    </row>
    <row r="83" spans="1:6" x14ac:dyDescent="0.35">
      <c r="A83" s="1" t="s">
        <v>85</v>
      </c>
      <c r="B83">
        <v>8</v>
      </c>
      <c r="C83">
        <v>8</v>
      </c>
      <c r="F83">
        <v>10</v>
      </c>
    </row>
    <row r="84" spans="1:6" x14ac:dyDescent="0.35">
      <c r="A84" s="1" t="s">
        <v>86</v>
      </c>
      <c r="D84">
        <v>4</v>
      </c>
      <c r="F84">
        <v>10</v>
      </c>
    </row>
    <row r="85" spans="1:6" x14ac:dyDescent="0.35">
      <c r="A85" s="1" t="s">
        <v>87</v>
      </c>
      <c r="B85">
        <v>5.6000000000000005</v>
      </c>
      <c r="C85">
        <v>5.6000000000000005</v>
      </c>
      <c r="D85">
        <v>7.6000000000000005</v>
      </c>
      <c r="E85">
        <v>11.200000000000001</v>
      </c>
    </row>
    <row r="86" spans="1:6" x14ac:dyDescent="0.35">
      <c r="A86" s="1" t="s">
        <v>88</v>
      </c>
      <c r="B86">
        <v>4.4000000000000004</v>
      </c>
      <c r="C86">
        <v>4.4000000000000004</v>
      </c>
      <c r="D86">
        <v>8</v>
      </c>
    </row>
    <row r="87" spans="1:6" x14ac:dyDescent="0.35">
      <c r="A87" s="1" t="s">
        <v>89</v>
      </c>
      <c r="B87">
        <v>8.8000000000000007</v>
      </c>
      <c r="E87">
        <v>3.2</v>
      </c>
    </row>
    <row r="88" spans="1:6" x14ac:dyDescent="0.35">
      <c r="A88" s="1" t="s">
        <v>91</v>
      </c>
      <c r="D88">
        <v>4.8000000000000007</v>
      </c>
      <c r="E88">
        <v>3.2</v>
      </c>
      <c r="F88">
        <v>5.6000000000000005</v>
      </c>
    </row>
    <row r="89" spans="1:6" x14ac:dyDescent="0.35">
      <c r="A89" s="1" t="s">
        <v>92</v>
      </c>
      <c r="B89">
        <v>1.6</v>
      </c>
      <c r="C89">
        <v>1.6</v>
      </c>
      <c r="D89">
        <v>6.4</v>
      </c>
    </row>
    <row r="90" spans="1:6" x14ac:dyDescent="0.35">
      <c r="A90" s="1" t="s">
        <v>93</v>
      </c>
      <c r="B90">
        <v>1.2000000000000002</v>
      </c>
      <c r="C90">
        <v>1.2000000000000002</v>
      </c>
    </row>
    <row r="91" spans="1:6" x14ac:dyDescent="0.35">
      <c r="A91" s="1" t="s">
        <v>94</v>
      </c>
      <c r="D91">
        <v>8.8000000000000007</v>
      </c>
      <c r="F91">
        <v>7.6000000000000005</v>
      </c>
    </row>
    <row r="92" spans="1:6" x14ac:dyDescent="0.35">
      <c r="A92" s="1" t="s">
        <v>95</v>
      </c>
      <c r="B92">
        <v>2</v>
      </c>
      <c r="D92">
        <v>11.600000000000001</v>
      </c>
      <c r="E92">
        <v>6.8000000000000007</v>
      </c>
      <c r="F92">
        <v>2</v>
      </c>
    </row>
    <row r="93" spans="1:6" x14ac:dyDescent="0.35">
      <c r="A93" s="1" t="s">
        <v>96</v>
      </c>
      <c r="B93">
        <v>10.4</v>
      </c>
      <c r="E93">
        <v>2</v>
      </c>
      <c r="F93">
        <v>6.4</v>
      </c>
    </row>
    <row r="94" spans="1:6" x14ac:dyDescent="0.35">
      <c r="A94" s="1" t="s">
        <v>97</v>
      </c>
      <c r="B94">
        <v>2.4000000000000004</v>
      </c>
      <c r="C94">
        <v>2.4000000000000004</v>
      </c>
      <c r="E94">
        <v>4</v>
      </c>
    </row>
    <row r="95" spans="1:6" x14ac:dyDescent="0.35">
      <c r="A95" s="1" t="s">
        <v>98</v>
      </c>
      <c r="B95">
        <v>6.4</v>
      </c>
      <c r="D95">
        <v>11.600000000000001</v>
      </c>
      <c r="E95">
        <v>2.8000000000000003</v>
      </c>
    </row>
    <row r="96" spans="1:6" x14ac:dyDescent="0.35">
      <c r="A96" s="1" t="s">
        <v>99</v>
      </c>
      <c r="D96">
        <v>12</v>
      </c>
      <c r="F96">
        <v>3.6</v>
      </c>
    </row>
    <row r="97" spans="1:6" x14ac:dyDescent="0.35">
      <c r="A97" s="1" t="s">
        <v>100</v>
      </c>
      <c r="B97">
        <v>12</v>
      </c>
      <c r="E97">
        <v>10.8</v>
      </c>
      <c r="F97">
        <v>11.600000000000001</v>
      </c>
    </row>
    <row r="98" spans="1:6" x14ac:dyDescent="0.35">
      <c r="A98" s="1" t="s">
        <v>101</v>
      </c>
      <c r="B98">
        <v>5.2</v>
      </c>
      <c r="C98">
        <v>5.2</v>
      </c>
      <c r="D98">
        <v>10.8</v>
      </c>
      <c r="F98">
        <v>11.600000000000001</v>
      </c>
    </row>
    <row r="99" spans="1:6" x14ac:dyDescent="0.35">
      <c r="A99" s="1" t="s">
        <v>102</v>
      </c>
      <c r="C99">
        <v>8</v>
      </c>
      <c r="D99">
        <v>10</v>
      </c>
      <c r="F99">
        <v>1.2000000000000002</v>
      </c>
    </row>
    <row r="100" spans="1:6" x14ac:dyDescent="0.35">
      <c r="A100" s="1" t="s">
        <v>103</v>
      </c>
      <c r="C100">
        <v>8.4</v>
      </c>
      <c r="D100">
        <v>5.6000000000000005</v>
      </c>
      <c r="E100">
        <v>8.8000000000000007</v>
      </c>
    </row>
    <row r="101" spans="1:6" x14ac:dyDescent="0.35">
      <c r="A101" s="1" t="s">
        <v>104</v>
      </c>
      <c r="B101">
        <v>10</v>
      </c>
      <c r="D101">
        <v>10.4</v>
      </c>
    </row>
    <row r="102" spans="1:6" x14ac:dyDescent="0.35">
      <c r="A102" s="1" t="s">
        <v>105</v>
      </c>
      <c r="B102">
        <v>0.8</v>
      </c>
      <c r="C102">
        <v>0.8</v>
      </c>
      <c r="E102">
        <v>6.8000000000000007</v>
      </c>
    </row>
    <row r="103" spans="1:6" x14ac:dyDescent="0.35">
      <c r="A103" s="1" t="s">
        <v>106</v>
      </c>
      <c r="B103">
        <v>3.6</v>
      </c>
      <c r="C103">
        <v>3.6</v>
      </c>
      <c r="F103">
        <v>10</v>
      </c>
    </row>
    <row r="104" spans="1:6" x14ac:dyDescent="0.35">
      <c r="A104" s="1" t="s">
        <v>107</v>
      </c>
      <c r="B104">
        <v>7.6000000000000005</v>
      </c>
      <c r="C104">
        <v>4.3143545957400145</v>
      </c>
      <c r="E104">
        <v>10</v>
      </c>
      <c r="F104">
        <v>12</v>
      </c>
    </row>
    <row r="105" spans="1:6" x14ac:dyDescent="0.35">
      <c r="A105" s="1" t="s">
        <v>108</v>
      </c>
      <c r="F105">
        <v>1.2000000000000002</v>
      </c>
    </row>
    <row r="106" spans="1:6" x14ac:dyDescent="0.35">
      <c r="A106" s="1" t="s">
        <v>109</v>
      </c>
      <c r="B106">
        <v>5.6000000000000005</v>
      </c>
      <c r="C106">
        <v>5.6000000000000005</v>
      </c>
      <c r="D106">
        <v>10</v>
      </c>
      <c r="E106">
        <v>8.4</v>
      </c>
      <c r="F106">
        <v>5.2</v>
      </c>
    </row>
    <row r="107" spans="1:6" x14ac:dyDescent="0.35">
      <c r="A107" s="1" t="s">
        <v>110</v>
      </c>
      <c r="B107">
        <v>11.200000000000001</v>
      </c>
      <c r="E107">
        <v>11.600000000000001</v>
      </c>
    </row>
    <row r="108" spans="1:6" x14ac:dyDescent="0.35">
      <c r="A108" s="1" t="s">
        <v>111</v>
      </c>
      <c r="C108">
        <v>7.6000000000000005</v>
      </c>
      <c r="D108">
        <v>5.2</v>
      </c>
    </row>
    <row r="109" spans="1:6" x14ac:dyDescent="0.35">
      <c r="A109" s="1" t="s">
        <v>112</v>
      </c>
      <c r="B109">
        <v>4.4000000000000004</v>
      </c>
      <c r="C109">
        <v>4.4000000000000004</v>
      </c>
      <c r="D109">
        <v>12</v>
      </c>
      <c r="E109">
        <v>7.2</v>
      </c>
    </row>
    <row r="110" spans="1:6" x14ac:dyDescent="0.35">
      <c r="A110" s="1" t="s">
        <v>113</v>
      </c>
      <c r="D110">
        <v>3.6</v>
      </c>
      <c r="E110">
        <v>10.4</v>
      </c>
      <c r="F110">
        <v>10.8</v>
      </c>
    </row>
    <row r="111" spans="1:6" x14ac:dyDescent="0.35">
      <c r="A111" s="1" t="s">
        <v>114</v>
      </c>
      <c r="C111">
        <v>9.6000000000000014</v>
      </c>
      <c r="D111">
        <v>9.6000000000000014</v>
      </c>
      <c r="F111">
        <v>8</v>
      </c>
    </row>
    <row r="112" spans="1:6" x14ac:dyDescent="0.35">
      <c r="A112" s="1" t="s">
        <v>115</v>
      </c>
      <c r="B112">
        <v>7.2</v>
      </c>
      <c r="F112">
        <v>1.2000000000000002</v>
      </c>
    </row>
    <row r="113" spans="1:6" x14ac:dyDescent="0.35">
      <c r="A113" s="1" t="s">
        <v>116</v>
      </c>
      <c r="D113">
        <v>3.2</v>
      </c>
    </row>
    <row r="114" spans="1:6" x14ac:dyDescent="0.35">
      <c r="A114" s="1" t="s">
        <v>117</v>
      </c>
      <c r="B114">
        <v>8.4</v>
      </c>
      <c r="C114">
        <v>2.4648167043176756</v>
      </c>
      <c r="E114">
        <v>3.6</v>
      </c>
      <c r="F114">
        <v>9.2000000000000011</v>
      </c>
    </row>
    <row r="115" spans="1:6" x14ac:dyDescent="0.35">
      <c r="A115" s="1" t="s">
        <v>118</v>
      </c>
      <c r="B115">
        <v>10.8</v>
      </c>
    </row>
    <row r="116" spans="1:6" x14ac:dyDescent="0.35">
      <c r="A116" s="1" t="s">
        <v>119</v>
      </c>
      <c r="D116">
        <v>4</v>
      </c>
      <c r="E116">
        <v>10.4</v>
      </c>
    </row>
    <row r="117" spans="1:6" x14ac:dyDescent="0.35">
      <c r="A117" s="1" t="s">
        <v>120</v>
      </c>
      <c r="C117">
        <v>7.6000000000000005</v>
      </c>
      <c r="D117">
        <v>4.8000000000000007</v>
      </c>
      <c r="E117">
        <v>7.6000000000000005</v>
      </c>
    </row>
    <row r="118" spans="1:6" x14ac:dyDescent="0.35">
      <c r="A118" s="1" t="s">
        <v>121</v>
      </c>
      <c r="C118">
        <v>2.8000000000000003</v>
      </c>
      <c r="D118">
        <v>1.2000000000000002</v>
      </c>
      <c r="F118">
        <v>6.4</v>
      </c>
    </row>
    <row r="119" spans="1:6" x14ac:dyDescent="0.35">
      <c r="A119" s="1" t="s">
        <v>122</v>
      </c>
      <c r="B119">
        <v>11.600000000000001</v>
      </c>
      <c r="C119">
        <v>11.600000000000001</v>
      </c>
      <c r="E119">
        <v>4.4000000000000004</v>
      </c>
      <c r="F119">
        <v>12</v>
      </c>
    </row>
    <row r="120" spans="1:6" x14ac:dyDescent="0.35">
      <c r="A120" s="1" t="s">
        <v>123</v>
      </c>
      <c r="B120">
        <v>5.6000000000000005</v>
      </c>
      <c r="D120">
        <v>6.4</v>
      </c>
    </row>
    <row r="121" spans="1:6" x14ac:dyDescent="0.35">
      <c r="A121" s="1" t="s">
        <v>124</v>
      </c>
      <c r="B121">
        <v>6.4</v>
      </c>
      <c r="C121">
        <v>6.4</v>
      </c>
      <c r="D121">
        <v>9.6000000000000014</v>
      </c>
      <c r="E121">
        <v>6.4</v>
      </c>
      <c r="F121">
        <v>2.4000000000000004</v>
      </c>
    </row>
    <row r="122" spans="1:6" x14ac:dyDescent="0.35">
      <c r="A122" s="1" t="s">
        <v>125</v>
      </c>
      <c r="B122">
        <v>11.200000000000001</v>
      </c>
      <c r="C122">
        <v>11.200000000000001</v>
      </c>
    </row>
    <row r="123" spans="1:6" x14ac:dyDescent="0.35">
      <c r="A123" s="1" t="s">
        <v>126</v>
      </c>
      <c r="D123">
        <v>2.8000000000000003</v>
      </c>
    </row>
    <row r="124" spans="1:6" x14ac:dyDescent="0.35">
      <c r="A124" s="1" t="s">
        <v>127</v>
      </c>
      <c r="C124">
        <v>1.6</v>
      </c>
      <c r="D124">
        <v>5.2</v>
      </c>
      <c r="E124">
        <v>2</v>
      </c>
      <c r="F124">
        <v>10.4</v>
      </c>
    </row>
    <row r="125" spans="1:6" x14ac:dyDescent="0.35">
      <c r="A125" s="1" t="s">
        <v>128</v>
      </c>
      <c r="C125">
        <v>1.6</v>
      </c>
      <c r="D125">
        <v>4</v>
      </c>
      <c r="E125">
        <v>10.4</v>
      </c>
      <c r="F125">
        <v>12</v>
      </c>
    </row>
    <row r="126" spans="1:6" x14ac:dyDescent="0.35">
      <c r="A126" s="1" t="s">
        <v>129</v>
      </c>
      <c r="D126">
        <v>0.4</v>
      </c>
      <c r="E126">
        <v>11.600000000000001</v>
      </c>
    </row>
    <row r="127" spans="1:6" x14ac:dyDescent="0.35">
      <c r="A127" s="1" t="s">
        <v>130</v>
      </c>
      <c r="B127">
        <v>3.6</v>
      </c>
      <c r="E127">
        <v>2.8000000000000003</v>
      </c>
    </row>
    <row r="128" spans="1:6" x14ac:dyDescent="0.35">
      <c r="A128" s="1" t="s">
        <v>131</v>
      </c>
      <c r="E128">
        <v>10</v>
      </c>
      <c r="F128">
        <v>0.4</v>
      </c>
    </row>
    <row r="129" spans="1:6" x14ac:dyDescent="0.35">
      <c r="A129" s="1" t="s">
        <v>132</v>
      </c>
      <c r="E129">
        <v>9.2000000000000011</v>
      </c>
    </row>
    <row r="130" spans="1:6" x14ac:dyDescent="0.35">
      <c r="A130" s="1" t="s">
        <v>133</v>
      </c>
      <c r="D130">
        <v>8.8000000000000007</v>
      </c>
      <c r="F130">
        <v>11.200000000000001</v>
      </c>
    </row>
    <row r="131" spans="1:6" x14ac:dyDescent="0.35">
      <c r="A131" s="1" t="s">
        <v>134</v>
      </c>
      <c r="D131">
        <v>7.2</v>
      </c>
    </row>
    <row r="132" spans="1:6" x14ac:dyDescent="0.35">
      <c r="A132" s="1" t="s">
        <v>135</v>
      </c>
      <c r="B132">
        <v>2.4000000000000004</v>
      </c>
      <c r="C132">
        <v>2.4000000000000004</v>
      </c>
    </row>
    <row r="133" spans="1:6" x14ac:dyDescent="0.35">
      <c r="A133" s="1" t="s">
        <v>136</v>
      </c>
      <c r="D133">
        <v>8.4</v>
      </c>
      <c r="E133">
        <v>3.6</v>
      </c>
    </row>
    <row r="134" spans="1:6" x14ac:dyDescent="0.35">
      <c r="A134" s="1" t="s">
        <v>137</v>
      </c>
      <c r="B134">
        <v>2.4000000000000004</v>
      </c>
      <c r="F134">
        <v>8.8000000000000007</v>
      </c>
    </row>
    <row r="135" spans="1:6" x14ac:dyDescent="0.35">
      <c r="A135" s="1" t="s">
        <v>138</v>
      </c>
      <c r="B135">
        <v>5.2</v>
      </c>
      <c r="C135">
        <v>5.2</v>
      </c>
      <c r="D135">
        <v>10.4</v>
      </c>
      <c r="E135">
        <v>4.4000000000000004</v>
      </c>
    </row>
    <row r="136" spans="1:6" x14ac:dyDescent="0.35">
      <c r="A136" s="1" t="s">
        <v>139</v>
      </c>
      <c r="B136">
        <v>0.8</v>
      </c>
      <c r="C136">
        <v>0.8</v>
      </c>
      <c r="D136">
        <v>2.8000000000000003</v>
      </c>
      <c r="E136">
        <v>8.8000000000000007</v>
      </c>
    </row>
    <row r="137" spans="1:6" x14ac:dyDescent="0.35">
      <c r="A137" s="1" t="s">
        <v>140</v>
      </c>
      <c r="B137">
        <v>9.6000000000000014</v>
      </c>
      <c r="E137">
        <v>0.8</v>
      </c>
      <c r="F137">
        <v>11.600000000000001</v>
      </c>
    </row>
    <row r="138" spans="1:6" x14ac:dyDescent="0.35">
      <c r="A138" s="1" t="s">
        <v>141</v>
      </c>
      <c r="D138">
        <v>10</v>
      </c>
      <c r="E138">
        <v>6</v>
      </c>
    </row>
    <row r="139" spans="1:6" x14ac:dyDescent="0.35">
      <c r="A139" s="1" t="s">
        <v>142</v>
      </c>
      <c r="D139">
        <v>11.600000000000001</v>
      </c>
      <c r="E139">
        <v>11.200000000000001</v>
      </c>
      <c r="F139">
        <v>1.6</v>
      </c>
    </row>
    <row r="140" spans="1:6" x14ac:dyDescent="0.35">
      <c r="A140" s="1" t="s">
        <v>143</v>
      </c>
      <c r="C140">
        <v>1.6</v>
      </c>
      <c r="E140">
        <v>0.8</v>
      </c>
    </row>
    <row r="141" spans="1:6" x14ac:dyDescent="0.35">
      <c r="A141" s="1" t="s">
        <v>144</v>
      </c>
      <c r="C141">
        <v>3.2</v>
      </c>
      <c r="D141">
        <v>8.4</v>
      </c>
      <c r="E141">
        <v>10.8</v>
      </c>
    </row>
    <row r="142" spans="1:6" x14ac:dyDescent="0.35">
      <c r="A142" s="1" t="s">
        <v>145</v>
      </c>
      <c r="B142">
        <v>8.8000000000000007</v>
      </c>
      <c r="D142">
        <v>10</v>
      </c>
      <c r="F142">
        <v>9.6000000000000014</v>
      </c>
    </row>
    <row r="143" spans="1:6" x14ac:dyDescent="0.35">
      <c r="A143" s="1" t="s">
        <v>146</v>
      </c>
      <c r="B143">
        <v>10</v>
      </c>
      <c r="C143">
        <v>10</v>
      </c>
      <c r="D143">
        <v>2.8000000000000003</v>
      </c>
    </row>
    <row r="144" spans="1:6" x14ac:dyDescent="0.35">
      <c r="A144" s="1" t="s">
        <v>147</v>
      </c>
      <c r="B144">
        <v>11.600000000000001</v>
      </c>
      <c r="D144">
        <v>10.4</v>
      </c>
    </row>
    <row r="145" spans="1:6" x14ac:dyDescent="0.35">
      <c r="A145" s="1" t="s">
        <v>148</v>
      </c>
      <c r="B145">
        <v>1.2000000000000002</v>
      </c>
      <c r="C145">
        <v>1.2000000000000002</v>
      </c>
      <c r="F145">
        <v>8</v>
      </c>
    </row>
    <row r="146" spans="1:6" x14ac:dyDescent="0.35">
      <c r="A146" s="1" t="s">
        <v>149</v>
      </c>
      <c r="B146">
        <v>11.200000000000001</v>
      </c>
      <c r="D146">
        <v>8.4</v>
      </c>
    </row>
    <row r="147" spans="1:6" x14ac:dyDescent="0.35">
      <c r="A147" s="1" t="s">
        <v>150</v>
      </c>
      <c r="C147">
        <v>5.6000000000000005</v>
      </c>
      <c r="D147">
        <v>12</v>
      </c>
      <c r="E147">
        <v>12</v>
      </c>
      <c r="F147">
        <v>1.2000000000000002</v>
      </c>
    </row>
    <row r="148" spans="1:6" x14ac:dyDescent="0.35">
      <c r="A148" s="1" t="s">
        <v>151</v>
      </c>
      <c r="B148">
        <v>3.2</v>
      </c>
      <c r="D148">
        <v>6.8000000000000007</v>
      </c>
      <c r="E148">
        <v>6.8000000000000007</v>
      </c>
    </row>
    <row r="149" spans="1:6" x14ac:dyDescent="0.35">
      <c r="A149" s="1" t="s">
        <v>152</v>
      </c>
      <c r="B149">
        <v>7.6000000000000005</v>
      </c>
      <c r="D149">
        <v>4.4000000000000004</v>
      </c>
      <c r="E149">
        <v>12</v>
      </c>
      <c r="F149">
        <v>2.8000000000000003</v>
      </c>
    </row>
    <row r="150" spans="1:6" x14ac:dyDescent="0.35">
      <c r="A150" s="1" t="s">
        <v>153</v>
      </c>
      <c r="C150">
        <v>0.8</v>
      </c>
      <c r="E150">
        <v>2.8000000000000003</v>
      </c>
    </row>
    <row r="151" spans="1:6" x14ac:dyDescent="0.35">
      <c r="A151" s="1" t="s">
        <v>154</v>
      </c>
      <c r="D151">
        <v>5.2</v>
      </c>
      <c r="F151">
        <v>7.2</v>
      </c>
    </row>
    <row r="152" spans="1:6" x14ac:dyDescent="0.35">
      <c r="A152" s="1" t="s">
        <v>155</v>
      </c>
      <c r="B152">
        <v>10</v>
      </c>
      <c r="C152">
        <v>10</v>
      </c>
      <c r="D152">
        <v>2.8000000000000003</v>
      </c>
      <c r="E152">
        <v>4.4000000000000004</v>
      </c>
      <c r="F152">
        <v>10.8</v>
      </c>
    </row>
    <row r="153" spans="1:6" x14ac:dyDescent="0.35">
      <c r="A153" s="1" t="s">
        <v>156</v>
      </c>
      <c r="C153">
        <v>12</v>
      </c>
    </row>
    <row r="154" spans="1:6" x14ac:dyDescent="0.35">
      <c r="A154" s="1" t="s">
        <v>157</v>
      </c>
      <c r="B154">
        <v>5.2</v>
      </c>
      <c r="C154">
        <v>5.2</v>
      </c>
      <c r="D154">
        <v>1.2000000000000002</v>
      </c>
      <c r="E154">
        <v>3.2</v>
      </c>
      <c r="F154">
        <v>8</v>
      </c>
    </row>
    <row r="155" spans="1:6" x14ac:dyDescent="0.35">
      <c r="A155" s="1" t="s">
        <v>158</v>
      </c>
      <c r="B155">
        <v>5.9999999999999991</v>
      </c>
      <c r="D155">
        <v>6.8000000000000007</v>
      </c>
      <c r="F155">
        <v>2</v>
      </c>
    </row>
    <row r="156" spans="1:6" x14ac:dyDescent="0.35">
      <c r="A156" s="1" t="s">
        <v>159</v>
      </c>
      <c r="B156">
        <v>1.2000000000000002</v>
      </c>
      <c r="E156">
        <v>11.600000000000001</v>
      </c>
    </row>
    <row r="157" spans="1:6" x14ac:dyDescent="0.35">
      <c r="A157" s="1" t="s">
        <v>160</v>
      </c>
      <c r="B157">
        <v>2</v>
      </c>
      <c r="E157">
        <v>9.2000000000000011</v>
      </c>
      <c r="F157">
        <v>5.6000000000000005</v>
      </c>
    </row>
    <row r="158" spans="1:6" x14ac:dyDescent="0.35">
      <c r="A158" s="1" t="s">
        <v>161</v>
      </c>
      <c r="C158">
        <v>2</v>
      </c>
      <c r="F158">
        <v>9.2000000000000011</v>
      </c>
    </row>
    <row r="159" spans="1:6" x14ac:dyDescent="0.35">
      <c r="A159" s="1" t="s">
        <v>162</v>
      </c>
      <c r="C159">
        <v>4.4000000000000004</v>
      </c>
      <c r="D159">
        <v>9.2000000000000011</v>
      </c>
      <c r="E159">
        <v>2.8000000000000003</v>
      </c>
      <c r="F159">
        <v>10</v>
      </c>
    </row>
    <row r="160" spans="1:6" x14ac:dyDescent="0.35">
      <c r="A160" s="1" t="s">
        <v>163</v>
      </c>
      <c r="B160">
        <v>8.4</v>
      </c>
      <c r="C160">
        <v>8.4</v>
      </c>
      <c r="D160">
        <v>11.200000000000001</v>
      </c>
      <c r="E160">
        <v>4.4000000000000004</v>
      </c>
    </row>
    <row r="161" spans="1:6" x14ac:dyDescent="0.35">
      <c r="A161" s="1" t="s">
        <v>164</v>
      </c>
      <c r="E161">
        <v>0.8</v>
      </c>
      <c r="F161">
        <v>8.4</v>
      </c>
    </row>
    <row r="162" spans="1:6" x14ac:dyDescent="0.35">
      <c r="A162" s="1" t="s">
        <v>165</v>
      </c>
      <c r="B162">
        <v>7.6000000000000005</v>
      </c>
      <c r="C162">
        <v>7.6000000000000005</v>
      </c>
      <c r="D162">
        <v>8.8000000000000007</v>
      </c>
      <c r="E162">
        <v>5.2</v>
      </c>
      <c r="F162">
        <v>11.600000000000001</v>
      </c>
    </row>
    <row r="163" spans="1:6" x14ac:dyDescent="0.35">
      <c r="A163" s="1" t="s">
        <v>166</v>
      </c>
      <c r="B163">
        <v>4.8000000000000007</v>
      </c>
      <c r="D163">
        <v>5.2</v>
      </c>
    </row>
    <row r="164" spans="1:6" x14ac:dyDescent="0.35">
      <c r="A164" s="1" t="s">
        <v>167</v>
      </c>
      <c r="B164">
        <v>2.4000000000000004</v>
      </c>
      <c r="E164">
        <v>4.4000000000000004</v>
      </c>
    </row>
    <row r="165" spans="1:6" x14ac:dyDescent="0.35">
      <c r="A165" s="1" t="s">
        <v>168</v>
      </c>
      <c r="B165">
        <v>1.6</v>
      </c>
      <c r="C165">
        <v>1.6</v>
      </c>
      <c r="E165">
        <v>8.8000000000000007</v>
      </c>
      <c r="F165">
        <v>3.6</v>
      </c>
    </row>
    <row r="166" spans="1:6" x14ac:dyDescent="0.35">
      <c r="A166" s="1" t="s">
        <v>169</v>
      </c>
      <c r="B166">
        <v>8.8000000000000007</v>
      </c>
      <c r="D166">
        <v>3.2</v>
      </c>
      <c r="F166">
        <v>5.6000000000000005</v>
      </c>
    </row>
    <row r="167" spans="1:6" x14ac:dyDescent="0.35">
      <c r="A167" s="1" t="s">
        <v>170</v>
      </c>
      <c r="D167">
        <v>1.6</v>
      </c>
    </row>
    <row r="168" spans="1:6" x14ac:dyDescent="0.35">
      <c r="A168" s="1" t="s">
        <v>171</v>
      </c>
      <c r="C168">
        <v>8.4</v>
      </c>
    </row>
    <row r="169" spans="1:6" x14ac:dyDescent="0.35">
      <c r="A169" s="1" t="s">
        <v>172</v>
      </c>
      <c r="F169">
        <v>3.2</v>
      </c>
    </row>
    <row r="170" spans="1:6" x14ac:dyDescent="0.35">
      <c r="A170" s="1" t="s">
        <v>173</v>
      </c>
      <c r="F170">
        <v>11.200000000000001</v>
      </c>
    </row>
    <row r="171" spans="1:6" x14ac:dyDescent="0.35">
      <c r="A171" s="1" t="s">
        <v>174</v>
      </c>
      <c r="B171">
        <v>6</v>
      </c>
      <c r="C171">
        <v>6</v>
      </c>
      <c r="E171">
        <v>10</v>
      </c>
      <c r="F171">
        <v>5.6000000000000005</v>
      </c>
    </row>
    <row r="172" spans="1:6" x14ac:dyDescent="0.35">
      <c r="A172" s="1" t="s">
        <v>175</v>
      </c>
      <c r="B172">
        <v>8.8000000000000007</v>
      </c>
      <c r="D172">
        <v>7.6000000000000005</v>
      </c>
      <c r="E172">
        <v>1.6</v>
      </c>
    </row>
    <row r="173" spans="1:6" x14ac:dyDescent="0.35">
      <c r="A173" s="1" t="s">
        <v>176</v>
      </c>
      <c r="E173">
        <v>10.8</v>
      </c>
    </row>
    <row r="174" spans="1:6" x14ac:dyDescent="0.35">
      <c r="A174" s="1" t="s">
        <v>177</v>
      </c>
      <c r="B174">
        <v>7.6000000000000005</v>
      </c>
      <c r="D174">
        <v>9.2000000000000011</v>
      </c>
      <c r="E174">
        <v>4.8000000000000007</v>
      </c>
      <c r="F174">
        <v>4</v>
      </c>
    </row>
    <row r="175" spans="1:6" x14ac:dyDescent="0.35">
      <c r="A175" s="1" t="s">
        <v>178</v>
      </c>
      <c r="C175">
        <v>9.6000000000000014</v>
      </c>
      <c r="D175">
        <v>6.4</v>
      </c>
      <c r="E175">
        <v>11.200000000000001</v>
      </c>
      <c r="F175">
        <v>0.8</v>
      </c>
    </row>
    <row r="176" spans="1:6" x14ac:dyDescent="0.35">
      <c r="A176" s="1" t="s">
        <v>179</v>
      </c>
      <c r="B176">
        <v>11.600000000000001</v>
      </c>
      <c r="C176">
        <v>11.600000000000001</v>
      </c>
    </row>
    <row r="177" spans="1:6" x14ac:dyDescent="0.35">
      <c r="A177" s="1" t="s">
        <v>180</v>
      </c>
      <c r="C177">
        <v>8.8000000000000007</v>
      </c>
      <c r="D177">
        <v>11.600000000000001</v>
      </c>
      <c r="E177">
        <v>1.2000000000000002</v>
      </c>
    </row>
    <row r="178" spans="1:6" x14ac:dyDescent="0.35">
      <c r="A178" s="1" t="s">
        <v>181</v>
      </c>
      <c r="B178">
        <v>6.4</v>
      </c>
      <c r="C178">
        <v>6.4</v>
      </c>
      <c r="D178">
        <v>12</v>
      </c>
      <c r="F178">
        <v>6.4</v>
      </c>
    </row>
    <row r="179" spans="1:6" x14ac:dyDescent="0.35">
      <c r="A179" s="1" t="s">
        <v>182</v>
      </c>
      <c r="F179">
        <v>8.8000000000000007</v>
      </c>
    </row>
    <row r="180" spans="1:6" x14ac:dyDescent="0.35">
      <c r="A180" s="1" t="s">
        <v>183</v>
      </c>
      <c r="B180">
        <v>2.4000000000000004</v>
      </c>
      <c r="E180">
        <v>12</v>
      </c>
      <c r="F180">
        <v>6.8000000000000007</v>
      </c>
    </row>
    <row r="181" spans="1:6" x14ac:dyDescent="0.35">
      <c r="A181" s="1" t="s">
        <v>184</v>
      </c>
      <c r="B181">
        <v>3.6</v>
      </c>
      <c r="C181">
        <v>3.6</v>
      </c>
      <c r="F181">
        <v>8.8000000000000007</v>
      </c>
    </row>
    <row r="182" spans="1:6" x14ac:dyDescent="0.35">
      <c r="A182" s="1" t="s">
        <v>185</v>
      </c>
      <c r="E182">
        <v>6.4</v>
      </c>
    </row>
    <row r="183" spans="1:6" x14ac:dyDescent="0.35">
      <c r="A183" s="1" t="s">
        <v>186</v>
      </c>
      <c r="C183">
        <v>6.4</v>
      </c>
      <c r="E183">
        <v>3.6</v>
      </c>
      <c r="F183">
        <v>4</v>
      </c>
    </row>
    <row r="184" spans="1:6" x14ac:dyDescent="0.35">
      <c r="A184" s="1" t="s">
        <v>187</v>
      </c>
      <c r="C184">
        <v>1.2000000000000002</v>
      </c>
      <c r="D184">
        <v>12</v>
      </c>
      <c r="F184">
        <v>3.2</v>
      </c>
    </row>
    <row r="185" spans="1:6" x14ac:dyDescent="0.35">
      <c r="A185" s="1" t="s">
        <v>188</v>
      </c>
      <c r="D185">
        <v>0.8</v>
      </c>
    </row>
    <row r="186" spans="1:6" x14ac:dyDescent="0.35">
      <c r="A186" s="1" t="s">
        <v>189</v>
      </c>
      <c r="C186">
        <v>8.8000000000000007</v>
      </c>
      <c r="E186">
        <v>0.4</v>
      </c>
      <c r="F186">
        <v>3.2</v>
      </c>
    </row>
    <row r="187" spans="1:6" x14ac:dyDescent="0.35">
      <c r="A187" s="1" t="s">
        <v>190</v>
      </c>
      <c r="B187">
        <v>10.8</v>
      </c>
    </row>
    <row r="188" spans="1:6" x14ac:dyDescent="0.35">
      <c r="A188" s="1" t="s">
        <v>191</v>
      </c>
      <c r="B188">
        <v>9.2000000000000011</v>
      </c>
      <c r="F188">
        <v>3.2</v>
      </c>
    </row>
    <row r="189" spans="1:6" x14ac:dyDescent="0.35">
      <c r="A189" s="1" t="s">
        <v>192</v>
      </c>
      <c r="B189">
        <v>9.2000000000000011</v>
      </c>
      <c r="D189">
        <v>0.4</v>
      </c>
      <c r="E189">
        <v>9.2000000000000011</v>
      </c>
    </row>
    <row r="190" spans="1:6" x14ac:dyDescent="0.35">
      <c r="A190" s="1" t="s">
        <v>193</v>
      </c>
      <c r="D190">
        <v>6</v>
      </c>
      <c r="E190">
        <v>6.4</v>
      </c>
      <c r="F190">
        <v>10.4</v>
      </c>
    </row>
    <row r="191" spans="1:6" x14ac:dyDescent="0.35">
      <c r="A191" s="1" t="s">
        <v>194</v>
      </c>
      <c r="C191">
        <v>1.2000000000000002</v>
      </c>
      <c r="E191">
        <v>8</v>
      </c>
      <c r="F191">
        <v>10.8</v>
      </c>
    </row>
    <row r="192" spans="1:6" x14ac:dyDescent="0.35">
      <c r="A192" s="1" t="s">
        <v>195</v>
      </c>
      <c r="B192">
        <v>6.4</v>
      </c>
      <c r="C192">
        <v>6.4</v>
      </c>
      <c r="D192">
        <v>11.600000000000001</v>
      </c>
      <c r="E192">
        <v>2</v>
      </c>
      <c r="F192">
        <v>11.600000000000001</v>
      </c>
    </row>
    <row r="193" spans="1:6" x14ac:dyDescent="0.35">
      <c r="A193" s="1" t="s">
        <v>196</v>
      </c>
      <c r="E193">
        <v>3.2</v>
      </c>
    </row>
    <row r="194" spans="1:6" x14ac:dyDescent="0.35">
      <c r="A194" s="1" t="s">
        <v>197</v>
      </c>
      <c r="B194">
        <v>6.8000000000000007</v>
      </c>
      <c r="E194">
        <v>1.2000000000000002</v>
      </c>
      <c r="F194">
        <v>11.600000000000001</v>
      </c>
    </row>
    <row r="195" spans="1:6" x14ac:dyDescent="0.35">
      <c r="A195" s="1" t="s">
        <v>198</v>
      </c>
      <c r="C195">
        <v>1.2000000000000002</v>
      </c>
      <c r="D195">
        <v>7.2</v>
      </c>
    </row>
    <row r="196" spans="1:6" x14ac:dyDescent="0.35">
      <c r="A196" s="1" t="s">
        <v>199</v>
      </c>
      <c r="C196">
        <v>1.6</v>
      </c>
      <c r="D196">
        <v>5.2</v>
      </c>
      <c r="E196">
        <v>8</v>
      </c>
    </row>
    <row r="197" spans="1:6" x14ac:dyDescent="0.35">
      <c r="A197" s="1" t="s">
        <v>200</v>
      </c>
      <c r="B197">
        <v>11.200000000000001</v>
      </c>
      <c r="C197">
        <v>11.200000000000001</v>
      </c>
      <c r="E197">
        <v>4</v>
      </c>
      <c r="F197">
        <v>0.4</v>
      </c>
    </row>
    <row r="198" spans="1:6" x14ac:dyDescent="0.35">
      <c r="A198" s="1" t="s">
        <v>201</v>
      </c>
      <c r="D198">
        <v>2.4000000000000004</v>
      </c>
    </row>
    <row r="199" spans="1:6" x14ac:dyDescent="0.35">
      <c r="A199" s="1" t="s">
        <v>202</v>
      </c>
      <c r="D199">
        <v>2.4000000000000004</v>
      </c>
    </row>
    <row r="200" spans="1:6" x14ac:dyDescent="0.35">
      <c r="A200" s="1" t="s">
        <v>203</v>
      </c>
      <c r="C200">
        <v>0.8</v>
      </c>
      <c r="D200">
        <v>9.2000000000000011</v>
      </c>
      <c r="E200">
        <v>8.8000000000000007</v>
      </c>
      <c r="F200">
        <v>2</v>
      </c>
    </row>
    <row r="201" spans="1:6" x14ac:dyDescent="0.35">
      <c r="A201" s="1" t="s">
        <v>204</v>
      </c>
      <c r="B201">
        <v>9.2000000000000011</v>
      </c>
      <c r="D201">
        <v>11.200000000000001</v>
      </c>
      <c r="F201">
        <v>11.200000000000001</v>
      </c>
    </row>
    <row r="202" spans="1:6" x14ac:dyDescent="0.35">
      <c r="A202" s="1" t="s">
        <v>205</v>
      </c>
      <c r="E202">
        <v>10.8</v>
      </c>
      <c r="F202">
        <v>0.8</v>
      </c>
    </row>
    <row r="203" spans="1:6" x14ac:dyDescent="0.35">
      <c r="A203" s="1" t="s">
        <v>206</v>
      </c>
      <c r="B203">
        <v>2.4000000000000004</v>
      </c>
      <c r="C203">
        <v>2.4000000000000004</v>
      </c>
      <c r="D203">
        <v>9.6000000000000014</v>
      </c>
      <c r="E203">
        <v>12</v>
      </c>
      <c r="F203">
        <v>0.8</v>
      </c>
    </row>
    <row r="204" spans="1:6" x14ac:dyDescent="0.35">
      <c r="A204" s="1" t="s">
        <v>207</v>
      </c>
      <c r="B204">
        <v>4</v>
      </c>
      <c r="C204">
        <v>4</v>
      </c>
      <c r="D204">
        <v>10</v>
      </c>
      <c r="F204">
        <v>7.6000000000000005</v>
      </c>
    </row>
    <row r="205" spans="1:6" x14ac:dyDescent="0.35">
      <c r="A205" s="1" t="s">
        <v>208</v>
      </c>
      <c r="B205">
        <v>4.4000000000000004</v>
      </c>
      <c r="E205">
        <v>2</v>
      </c>
      <c r="F205">
        <v>4.4000000000000004</v>
      </c>
    </row>
    <row r="206" spans="1:6" x14ac:dyDescent="0.35">
      <c r="A206" s="1" t="s">
        <v>209</v>
      </c>
      <c r="B206">
        <v>6.4</v>
      </c>
    </row>
    <row r="207" spans="1:6" x14ac:dyDescent="0.35">
      <c r="A207" s="1" t="s">
        <v>210</v>
      </c>
      <c r="B207">
        <v>8.8000000000000007</v>
      </c>
      <c r="C207">
        <v>8.8000000000000007</v>
      </c>
      <c r="D207">
        <v>7.2</v>
      </c>
    </row>
    <row r="208" spans="1:6" x14ac:dyDescent="0.35">
      <c r="A208" s="1" t="s">
        <v>211</v>
      </c>
      <c r="B208">
        <v>8.4</v>
      </c>
      <c r="F208">
        <v>6</v>
      </c>
    </row>
    <row r="209" spans="1:6" x14ac:dyDescent="0.35">
      <c r="A209" s="1" t="s">
        <v>212</v>
      </c>
      <c r="C209">
        <v>3.2</v>
      </c>
    </row>
    <row r="210" spans="1:6" x14ac:dyDescent="0.35">
      <c r="A210" s="1" t="s">
        <v>214</v>
      </c>
      <c r="C210">
        <v>5.2</v>
      </c>
    </row>
    <row r="211" spans="1:6" x14ac:dyDescent="0.35">
      <c r="A211" s="1" t="s">
        <v>215</v>
      </c>
      <c r="B211">
        <v>1.6</v>
      </c>
      <c r="C211">
        <v>1.6</v>
      </c>
      <c r="D211">
        <v>7.6000000000000005</v>
      </c>
    </row>
    <row r="212" spans="1:6" x14ac:dyDescent="0.35">
      <c r="A212" s="1" t="s">
        <v>216</v>
      </c>
      <c r="C212">
        <v>3.6</v>
      </c>
    </row>
    <row r="213" spans="1:6" x14ac:dyDescent="0.35">
      <c r="A213" s="1" t="s">
        <v>217</v>
      </c>
      <c r="B213">
        <v>3.6</v>
      </c>
      <c r="C213">
        <v>3.6</v>
      </c>
      <c r="E213">
        <v>4.8000000000000007</v>
      </c>
      <c r="F213">
        <v>6</v>
      </c>
    </row>
    <row r="214" spans="1:6" x14ac:dyDescent="0.35">
      <c r="A214" s="1" t="s">
        <v>218</v>
      </c>
      <c r="C214">
        <v>10.4</v>
      </c>
      <c r="D214">
        <v>2.8000000000000003</v>
      </c>
      <c r="E214">
        <v>4</v>
      </c>
      <c r="F214">
        <v>11.200000000000001</v>
      </c>
    </row>
    <row r="215" spans="1:6" x14ac:dyDescent="0.35">
      <c r="A215" s="1" t="s">
        <v>219</v>
      </c>
      <c r="B215">
        <v>5.2</v>
      </c>
      <c r="D215">
        <v>3.6</v>
      </c>
      <c r="E215">
        <v>1.2000000000000002</v>
      </c>
      <c r="F215">
        <v>12</v>
      </c>
    </row>
    <row r="216" spans="1:6" x14ac:dyDescent="0.35">
      <c r="A216" s="1" t="s">
        <v>220</v>
      </c>
      <c r="C216">
        <v>6.4</v>
      </c>
      <c r="F216">
        <v>9.2000000000000011</v>
      </c>
    </row>
    <row r="217" spans="1:6" x14ac:dyDescent="0.35">
      <c r="A217" s="1" t="s">
        <v>221</v>
      </c>
      <c r="B217">
        <v>0.8</v>
      </c>
      <c r="D217">
        <v>4.4000000000000004</v>
      </c>
      <c r="E217">
        <v>11.200000000000001</v>
      </c>
      <c r="F217">
        <v>11.600000000000001</v>
      </c>
    </row>
    <row r="218" spans="1:6" x14ac:dyDescent="0.35">
      <c r="A218" s="1" t="s">
        <v>222</v>
      </c>
      <c r="C218">
        <v>2.8000000000000003</v>
      </c>
      <c r="D218">
        <v>2</v>
      </c>
      <c r="F218">
        <v>4.8000000000000007</v>
      </c>
    </row>
    <row r="219" spans="1:6" x14ac:dyDescent="0.35">
      <c r="A219" s="1" t="s">
        <v>223</v>
      </c>
      <c r="B219">
        <v>0.4</v>
      </c>
      <c r="E219">
        <v>6.4</v>
      </c>
    </row>
    <row r="220" spans="1:6" x14ac:dyDescent="0.35">
      <c r="A220" s="1" t="s">
        <v>224</v>
      </c>
      <c r="B220">
        <v>8.8000000000000007</v>
      </c>
      <c r="C220">
        <v>8.8000000000000007</v>
      </c>
    </row>
    <row r="221" spans="1:6" x14ac:dyDescent="0.35">
      <c r="A221" s="1" t="s">
        <v>225</v>
      </c>
      <c r="D221">
        <v>3.6</v>
      </c>
      <c r="E221">
        <v>11.600000000000001</v>
      </c>
      <c r="F221">
        <v>6</v>
      </c>
    </row>
    <row r="222" spans="1:6" x14ac:dyDescent="0.35">
      <c r="A222" s="1" t="s">
        <v>226</v>
      </c>
      <c r="B222">
        <v>5.2</v>
      </c>
      <c r="E222">
        <v>6.4</v>
      </c>
      <c r="F222">
        <v>3.6</v>
      </c>
    </row>
    <row r="223" spans="1:6" x14ac:dyDescent="0.35">
      <c r="A223" s="1" t="s">
        <v>227</v>
      </c>
      <c r="C223">
        <v>6</v>
      </c>
      <c r="D223">
        <v>6.4</v>
      </c>
      <c r="E223">
        <v>11.200000000000001</v>
      </c>
      <c r="F223">
        <v>11.600000000000001</v>
      </c>
    </row>
    <row r="224" spans="1:6" x14ac:dyDescent="0.35">
      <c r="A224" s="1" t="s">
        <v>228</v>
      </c>
      <c r="B224">
        <v>4.8000000000000007</v>
      </c>
      <c r="C224">
        <v>4.8000000000000007</v>
      </c>
      <c r="D224">
        <v>12</v>
      </c>
      <c r="F224">
        <v>2.8000000000000003</v>
      </c>
    </row>
    <row r="225" spans="1:6" x14ac:dyDescent="0.35">
      <c r="A225" s="1" t="s">
        <v>229</v>
      </c>
      <c r="D225">
        <v>8</v>
      </c>
    </row>
    <row r="226" spans="1:6" x14ac:dyDescent="0.35">
      <c r="A226" s="1" t="s">
        <v>230</v>
      </c>
      <c r="C226">
        <v>4.4000000000000004</v>
      </c>
      <c r="E226">
        <v>10.4</v>
      </c>
      <c r="F226">
        <v>6</v>
      </c>
    </row>
    <row r="227" spans="1:6" x14ac:dyDescent="0.35">
      <c r="A227" s="1" t="s">
        <v>231</v>
      </c>
      <c r="C227">
        <v>8</v>
      </c>
      <c r="F227">
        <v>4.4000000000000004</v>
      </c>
    </row>
    <row r="228" spans="1:6" x14ac:dyDescent="0.35">
      <c r="A228" s="1" t="s">
        <v>232</v>
      </c>
      <c r="D228">
        <v>7.2</v>
      </c>
      <c r="E228">
        <v>8</v>
      </c>
    </row>
    <row r="229" spans="1:6" x14ac:dyDescent="0.35">
      <c r="A229" s="1" t="s">
        <v>233</v>
      </c>
      <c r="D229">
        <v>3.2</v>
      </c>
      <c r="E229">
        <v>8</v>
      </c>
      <c r="F229">
        <v>10.4</v>
      </c>
    </row>
    <row r="230" spans="1:6" x14ac:dyDescent="0.35">
      <c r="A230" s="1" t="s">
        <v>234</v>
      </c>
      <c r="B230">
        <v>3.6</v>
      </c>
      <c r="C230">
        <v>3.6</v>
      </c>
    </row>
    <row r="231" spans="1:6" x14ac:dyDescent="0.35">
      <c r="A231" s="1" t="s">
        <v>235</v>
      </c>
      <c r="D231">
        <v>8.4</v>
      </c>
      <c r="F231">
        <v>10.8</v>
      </c>
    </row>
    <row r="232" spans="1:6" x14ac:dyDescent="0.35">
      <c r="A232" s="1" t="s">
        <v>236</v>
      </c>
      <c r="D232">
        <v>3.2</v>
      </c>
      <c r="F232">
        <v>0.4</v>
      </c>
    </row>
    <row r="233" spans="1:6" x14ac:dyDescent="0.35">
      <c r="A233" s="1" t="s">
        <v>237</v>
      </c>
      <c r="B233">
        <v>11.200000000000001</v>
      </c>
    </row>
    <row r="234" spans="1:6" x14ac:dyDescent="0.35">
      <c r="A234" s="1" t="s">
        <v>238</v>
      </c>
      <c r="C234">
        <v>7.2</v>
      </c>
      <c r="E234">
        <v>11.600000000000001</v>
      </c>
      <c r="F234">
        <v>6</v>
      </c>
    </row>
    <row r="235" spans="1:6" x14ac:dyDescent="0.35">
      <c r="A235" s="1" t="s">
        <v>239</v>
      </c>
      <c r="D235">
        <v>2</v>
      </c>
      <c r="E235">
        <v>3.2</v>
      </c>
    </row>
    <row r="236" spans="1:6" x14ac:dyDescent="0.35">
      <c r="A236" s="1" t="s">
        <v>240</v>
      </c>
      <c r="B236">
        <v>5.2</v>
      </c>
      <c r="C236">
        <v>5.2</v>
      </c>
    </row>
    <row r="237" spans="1:6" x14ac:dyDescent="0.35">
      <c r="A237" s="1" t="s">
        <v>241</v>
      </c>
      <c r="B237">
        <v>5.6000000000000005</v>
      </c>
      <c r="C237">
        <v>5.6000000000000005</v>
      </c>
      <c r="D237">
        <v>11.200000000000001</v>
      </c>
      <c r="E237">
        <v>3.6</v>
      </c>
    </row>
    <row r="238" spans="1:6" x14ac:dyDescent="0.35">
      <c r="A238" s="1" t="s">
        <v>242</v>
      </c>
      <c r="B238">
        <v>6</v>
      </c>
      <c r="D238">
        <v>7.6000000000000005</v>
      </c>
      <c r="E238">
        <v>5.2</v>
      </c>
      <c r="F238">
        <v>3.6</v>
      </c>
    </row>
    <row r="239" spans="1:6" x14ac:dyDescent="0.35">
      <c r="A239" s="1" t="s">
        <v>243</v>
      </c>
      <c r="B239">
        <v>10.4</v>
      </c>
      <c r="D239">
        <v>4</v>
      </c>
      <c r="F239">
        <v>7.2</v>
      </c>
    </row>
    <row r="240" spans="1:6" x14ac:dyDescent="0.35">
      <c r="A240" s="1" t="s">
        <v>244</v>
      </c>
      <c r="C240">
        <v>6.4</v>
      </c>
      <c r="E240">
        <v>2</v>
      </c>
    </row>
    <row r="241" spans="1:6" x14ac:dyDescent="0.35">
      <c r="A241" s="1" t="s">
        <v>245</v>
      </c>
      <c r="B241">
        <v>6.4</v>
      </c>
      <c r="E241">
        <v>1.2000000000000002</v>
      </c>
      <c r="F241">
        <v>10.8</v>
      </c>
    </row>
    <row r="242" spans="1:6" x14ac:dyDescent="0.35">
      <c r="A242" s="1" t="s">
        <v>246</v>
      </c>
      <c r="B242">
        <v>2</v>
      </c>
      <c r="D242">
        <v>0.8</v>
      </c>
      <c r="F242">
        <v>4.8000000000000007</v>
      </c>
    </row>
    <row r="243" spans="1:6" x14ac:dyDescent="0.35">
      <c r="A243" s="1" t="s">
        <v>247</v>
      </c>
      <c r="B243">
        <v>0.8</v>
      </c>
      <c r="D243">
        <v>11.200000000000001</v>
      </c>
    </row>
    <row r="244" spans="1:6" x14ac:dyDescent="0.35">
      <c r="A244" s="1" t="s">
        <v>248</v>
      </c>
      <c r="C244">
        <v>1.2000000000000002</v>
      </c>
      <c r="D244">
        <v>8.8000000000000007</v>
      </c>
    </row>
    <row r="245" spans="1:6" x14ac:dyDescent="0.35">
      <c r="A245" s="1" t="s">
        <v>249</v>
      </c>
      <c r="D245">
        <v>5.6000000000000005</v>
      </c>
      <c r="E245">
        <v>1.6</v>
      </c>
      <c r="F245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B1EB-99AC-4ECE-A8D0-7C87B3E323E6}">
  <dimension ref="A1:F241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>
        <v>1</v>
      </c>
    </row>
    <row r="3" spans="1:6" x14ac:dyDescent="0.35">
      <c r="A3" s="1" t="s">
        <v>1</v>
      </c>
      <c r="D3">
        <v>1</v>
      </c>
      <c r="E3">
        <v>1</v>
      </c>
      <c r="F3">
        <v>1</v>
      </c>
    </row>
    <row r="4" spans="1:6" x14ac:dyDescent="0.35">
      <c r="A4" s="1" t="s">
        <v>2</v>
      </c>
      <c r="E4">
        <v>1</v>
      </c>
    </row>
    <row r="5" spans="1:6" x14ac:dyDescent="0.35">
      <c r="A5" s="1" t="s">
        <v>3</v>
      </c>
      <c r="C5">
        <v>1</v>
      </c>
      <c r="E5">
        <v>1</v>
      </c>
    </row>
    <row r="6" spans="1:6" x14ac:dyDescent="0.35">
      <c r="A6" s="1" t="s">
        <v>4</v>
      </c>
      <c r="E6">
        <v>1</v>
      </c>
      <c r="F6">
        <v>1</v>
      </c>
    </row>
    <row r="7" spans="1:6" x14ac:dyDescent="0.35">
      <c r="A7" s="1" t="s">
        <v>5</v>
      </c>
      <c r="C7">
        <v>1</v>
      </c>
      <c r="D7">
        <v>1</v>
      </c>
    </row>
    <row r="8" spans="1:6" x14ac:dyDescent="0.35">
      <c r="A8" s="1" t="s">
        <v>6</v>
      </c>
      <c r="C8">
        <v>1</v>
      </c>
      <c r="E8">
        <v>1</v>
      </c>
    </row>
    <row r="9" spans="1:6" x14ac:dyDescent="0.35">
      <c r="A9" s="1" t="s">
        <v>7</v>
      </c>
      <c r="B9">
        <v>1</v>
      </c>
      <c r="E9">
        <v>1</v>
      </c>
      <c r="F9">
        <v>1</v>
      </c>
    </row>
    <row r="10" spans="1:6" x14ac:dyDescent="0.35">
      <c r="A10" s="1" t="s">
        <v>8</v>
      </c>
      <c r="C10">
        <v>1</v>
      </c>
      <c r="D10">
        <v>1</v>
      </c>
      <c r="E10">
        <v>1</v>
      </c>
      <c r="F10">
        <v>1</v>
      </c>
    </row>
    <row r="11" spans="1:6" x14ac:dyDescent="0.35">
      <c r="A11" s="1" t="s">
        <v>9</v>
      </c>
      <c r="D11">
        <v>1</v>
      </c>
      <c r="E11">
        <v>1</v>
      </c>
      <c r="F11">
        <v>1</v>
      </c>
    </row>
    <row r="12" spans="1:6" x14ac:dyDescent="0.35">
      <c r="A12" s="1" t="s">
        <v>10</v>
      </c>
      <c r="B12">
        <v>1</v>
      </c>
      <c r="D12">
        <v>1</v>
      </c>
    </row>
    <row r="13" spans="1:6" x14ac:dyDescent="0.35">
      <c r="A13" s="1" t="s">
        <v>11</v>
      </c>
      <c r="B13">
        <v>1</v>
      </c>
      <c r="C13">
        <v>1</v>
      </c>
      <c r="D13">
        <v>1</v>
      </c>
    </row>
    <row r="14" spans="1:6" x14ac:dyDescent="0.35">
      <c r="A14" s="1" t="s">
        <v>12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C15">
        <v>1</v>
      </c>
    </row>
    <row r="16" spans="1:6" x14ac:dyDescent="0.35">
      <c r="A16" s="1" t="s">
        <v>14</v>
      </c>
      <c r="B16">
        <v>1</v>
      </c>
      <c r="C16">
        <v>1</v>
      </c>
      <c r="E16">
        <v>1</v>
      </c>
    </row>
    <row r="17" spans="1:6" x14ac:dyDescent="0.35">
      <c r="A17" s="1" t="s">
        <v>15</v>
      </c>
      <c r="D17">
        <v>1</v>
      </c>
      <c r="E17">
        <v>1</v>
      </c>
    </row>
    <row r="18" spans="1:6" x14ac:dyDescent="0.35">
      <c r="A18" s="1" t="s">
        <v>16</v>
      </c>
      <c r="B18">
        <v>1</v>
      </c>
      <c r="D18">
        <v>1</v>
      </c>
      <c r="E18">
        <v>1</v>
      </c>
    </row>
    <row r="19" spans="1:6" x14ac:dyDescent="0.35">
      <c r="A19" s="1" t="s">
        <v>17</v>
      </c>
      <c r="B19">
        <v>1</v>
      </c>
      <c r="C19">
        <v>1</v>
      </c>
      <c r="F19">
        <v>1</v>
      </c>
    </row>
    <row r="20" spans="1:6" x14ac:dyDescent="0.35">
      <c r="A20" s="1" t="s">
        <v>18</v>
      </c>
      <c r="B20">
        <v>1</v>
      </c>
      <c r="D20">
        <v>1</v>
      </c>
      <c r="F20">
        <v>1</v>
      </c>
    </row>
    <row r="21" spans="1:6" x14ac:dyDescent="0.35">
      <c r="A21" s="1" t="s">
        <v>19</v>
      </c>
      <c r="B21">
        <v>1</v>
      </c>
      <c r="C21">
        <v>1</v>
      </c>
      <c r="E21">
        <v>1</v>
      </c>
      <c r="F21">
        <v>1</v>
      </c>
    </row>
    <row r="22" spans="1:6" x14ac:dyDescent="0.35">
      <c r="A22" s="1" t="s">
        <v>20</v>
      </c>
      <c r="C22">
        <v>1</v>
      </c>
      <c r="E22">
        <v>1</v>
      </c>
    </row>
    <row r="23" spans="1:6" x14ac:dyDescent="0.35">
      <c r="A23" s="1" t="s">
        <v>21</v>
      </c>
      <c r="B23">
        <v>1</v>
      </c>
      <c r="C23">
        <v>1</v>
      </c>
      <c r="D23">
        <v>1</v>
      </c>
      <c r="E23">
        <v>1</v>
      </c>
      <c r="F23">
        <v>1</v>
      </c>
    </row>
    <row r="24" spans="1:6" x14ac:dyDescent="0.35">
      <c r="A24" s="1" t="s">
        <v>22</v>
      </c>
      <c r="B24">
        <v>1</v>
      </c>
      <c r="D24">
        <v>1</v>
      </c>
      <c r="E24">
        <v>1</v>
      </c>
    </row>
    <row r="25" spans="1:6" x14ac:dyDescent="0.35">
      <c r="A25" s="1" t="s">
        <v>23</v>
      </c>
      <c r="C25">
        <v>1</v>
      </c>
      <c r="D25">
        <v>1</v>
      </c>
    </row>
    <row r="26" spans="1:6" x14ac:dyDescent="0.35">
      <c r="A26" s="1" t="s">
        <v>24</v>
      </c>
      <c r="B26">
        <v>1</v>
      </c>
      <c r="E26">
        <v>1</v>
      </c>
    </row>
    <row r="27" spans="1:6" x14ac:dyDescent="0.35">
      <c r="A27" s="1" t="s">
        <v>25</v>
      </c>
      <c r="F27">
        <v>1</v>
      </c>
    </row>
    <row r="28" spans="1:6" x14ac:dyDescent="0.35">
      <c r="A28" s="1" t="s">
        <v>26</v>
      </c>
      <c r="B28">
        <v>1</v>
      </c>
      <c r="D28">
        <v>1</v>
      </c>
      <c r="E28">
        <v>1</v>
      </c>
    </row>
    <row r="29" spans="1:6" x14ac:dyDescent="0.35">
      <c r="A29" s="1" t="s">
        <v>27</v>
      </c>
      <c r="C29">
        <v>1</v>
      </c>
      <c r="E29">
        <v>1</v>
      </c>
      <c r="F29">
        <v>1</v>
      </c>
    </row>
    <row r="30" spans="1:6" x14ac:dyDescent="0.35">
      <c r="A30" s="1" t="s">
        <v>28</v>
      </c>
      <c r="C30">
        <v>1</v>
      </c>
      <c r="E30">
        <v>1</v>
      </c>
    </row>
    <row r="31" spans="1:6" x14ac:dyDescent="0.35">
      <c r="A31" s="1" t="s">
        <v>29</v>
      </c>
      <c r="B31">
        <v>1</v>
      </c>
      <c r="D31">
        <v>1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F32">
        <v>1</v>
      </c>
    </row>
    <row r="33" spans="1:6" x14ac:dyDescent="0.35">
      <c r="A33" s="1" t="s">
        <v>31</v>
      </c>
      <c r="B33">
        <v>1</v>
      </c>
      <c r="E33">
        <v>1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  <c r="F34">
        <v>1</v>
      </c>
    </row>
    <row r="35" spans="1:6" x14ac:dyDescent="0.35">
      <c r="A35" s="1" t="s">
        <v>33</v>
      </c>
      <c r="E35">
        <v>1</v>
      </c>
    </row>
    <row r="36" spans="1:6" x14ac:dyDescent="0.35">
      <c r="A36" s="1" t="s">
        <v>34</v>
      </c>
      <c r="B36">
        <v>1</v>
      </c>
      <c r="D36">
        <v>1</v>
      </c>
      <c r="F36">
        <v>1</v>
      </c>
    </row>
    <row r="37" spans="1:6" x14ac:dyDescent="0.35">
      <c r="A37" s="1" t="s">
        <v>35</v>
      </c>
      <c r="E37">
        <v>1</v>
      </c>
      <c r="F37">
        <v>1</v>
      </c>
    </row>
    <row r="38" spans="1:6" x14ac:dyDescent="0.35">
      <c r="A38" s="1" t="s">
        <v>36</v>
      </c>
      <c r="B38">
        <v>1</v>
      </c>
      <c r="E38">
        <v>1</v>
      </c>
    </row>
    <row r="39" spans="1:6" x14ac:dyDescent="0.35">
      <c r="A39" s="1" t="s">
        <v>37</v>
      </c>
      <c r="C39">
        <v>1</v>
      </c>
      <c r="E39">
        <v>1</v>
      </c>
    </row>
    <row r="40" spans="1:6" x14ac:dyDescent="0.35">
      <c r="A40" s="1" t="s">
        <v>38</v>
      </c>
      <c r="B40">
        <v>1</v>
      </c>
      <c r="F40">
        <v>1</v>
      </c>
    </row>
    <row r="41" spans="1:6" x14ac:dyDescent="0.35">
      <c r="A41" s="1" t="s">
        <v>39</v>
      </c>
      <c r="C41">
        <v>1</v>
      </c>
      <c r="D41">
        <v>1</v>
      </c>
      <c r="E41">
        <v>1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F43">
        <v>1</v>
      </c>
    </row>
    <row r="44" spans="1:6" x14ac:dyDescent="0.35">
      <c r="A44" s="1" t="s">
        <v>42</v>
      </c>
      <c r="B44">
        <v>1</v>
      </c>
      <c r="F44">
        <v>1</v>
      </c>
    </row>
    <row r="45" spans="1:6" x14ac:dyDescent="0.35">
      <c r="A45" s="1" t="s">
        <v>43</v>
      </c>
      <c r="C45">
        <v>1</v>
      </c>
      <c r="E45">
        <v>1</v>
      </c>
    </row>
    <row r="46" spans="1:6" x14ac:dyDescent="0.35">
      <c r="A46" s="1" t="s">
        <v>44</v>
      </c>
      <c r="C46">
        <v>1</v>
      </c>
      <c r="E46">
        <v>1</v>
      </c>
    </row>
    <row r="47" spans="1:6" x14ac:dyDescent="0.35">
      <c r="A47" s="1" t="s">
        <v>45</v>
      </c>
      <c r="C47">
        <v>1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C48">
        <v>1</v>
      </c>
      <c r="D48">
        <v>1</v>
      </c>
      <c r="E48">
        <v>1</v>
      </c>
      <c r="F48">
        <v>1</v>
      </c>
    </row>
    <row r="49" spans="1:6" x14ac:dyDescent="0.35">
      <c r="A49" s="1" t="s">
        <v>47</v>
      </c>
      <c r="C49">
        <v>1</v>
      </c>
    </row>
    <row r="50" spans="1:6" x14ac:dyDescent="0.35">
      <c r="A50" s="1" t="s">
        <v>48</v>
      </c>
      <c r="B50">
        <v>1</v>
      </c>
      <c r="F50">
        <v>1</v>
      </c>
    </row>
    <row r="51" spans="1:6" x14ac:dyDescent="0.35">
      <c r="A51" s="1" t="s">
        <v>49</v>
      </c>
      <c r="C51">
        <v>1</v>
      </c>
      <c r="D51">
        <v>1</v>
      </c>
      <c r="E51">
        <v>1</v>
      </c>
    </row>
    <row r="52" spans="1:6" x14ac:dyDescent="0.35">
      <c r="A52" s="1" t="s">
        <v>50</v>
      </c>
      <c r="C52">
        <v>1</v>
      </c>
      <c r="F52">
        <v>1</v>
      </c>
    </row>
    <row r="53" spans="1:6" x14ac:dyDescent="0.35">
      <c r="A53" s="1" t="s">
        <v>51</v>
      </c>
      <c r="B53">
        <v>1</v>
      </c>
      <c r="E53">
        <v>1</v>
      </c>
      <c r="F53">
        <v>1</v>
      </c>
    </row>
    <row r="54" spans="1:6" x14ac:dyDescent="0.35">
      <c r="A54" s="1" t="s">
        <v>52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C55">
        <v>1</v>
      </c>
      <c r="D55">
        <v>1</v>
      </c>
      <c r="E55">
        <v>1</v>
      </c>
    </row>
    <row r="56" spans="1:6" x14ac:dyDescent="0.35">
      <c r="A56" s="1" t="s">
        <v>54</v>
      </c>
      <c r="C56">
        <v>1</v>
      </c>
      <c r="D56">
        <v>1</v>
      </c>
      <c r="E56">
        <v>1</v>
      </c>
    </row>
    <row r="57" spans="1:6" x14ac:dyDescent="0.35">
      <c r="A57" s="1" t="s">
        <v>55</v>
      </c>
      <c r="B57">
        <v>1</v>
      </c>
      <c r="D57">
        <v>1</v>
      </c>
    </row>
    <row r="58" spans="1:6" x14ac:dyDescent="0.35">
      <c r="A58" s="1" t="s">
        <v>56</v>
      </c>
      <c r="D58">
        <v>1</v>
      </c>
      <c r="E58">
        <v>1</v>
      </c>
      <c r="F58">
        <v>1</v>
      </c>
    </row>
    <row r="59" spans="1:6" x14ac:dyDescent="0.35">
      <c r="A59" s="1" t="s">
        <v>57</v>
      </c>
      <c r="D59">
        <v>1</v>
      </c>
      <c r="E59">
        <v>1</v>
      </c>
      <c r="F59">
        <v>1</v>
      </c>
    </row>
    <row r="60" spans="1:6" x14ac:dyDescent="0.35">
      <c r="A60" s="1" t="s">
        <v>58</v>
      </c>
      <c r="D60">
        <v>1</v>
      </c>
    </row>
    <row r="61" spans="1:6" x14ac:dyDescent="0.35">
      <c r="A61" s="1" t="s">
        <v>59</v>
      </c>
      <c r="B61">
        <v>1</v>
      </c>
      <c r="C61">
        <v>1</v>
      </c>
      <c r="F61">
        <v>1</v>
      </c>
    </row>
    <row r="62" spans="1:6" x14ac:dyDescent="0.35">
      <c r="A62" s="1" t="s">
        <v>60</v>
      </c>
      <c r="E62">
        <v>1</v>
      </c>
    </row>
    <row r="63" spans="1:6" x14ac:dyDescent="0.35">
      <c r="A63" s="1" t="s">
        <v>61</v>
      </c>
      <c r="C63">
        <v>1</v>
      </c>
    </row>
    <row r="64" spans="1:6" x14ac:dyDescent="0.35">
      <c r="A64" s="1" t="s">
        <v>62</v>
      </c>
      <c r="E64">
        <v>1</v>
      </c>
      <c r="F64">
        <v>1</v>
      </c>
    </row>
    <row r="65" spans="1:6" x14ac:dyDescent="0.35">
      <c r="A65" s="1" t="s">
        <v>63</v>
      </c>
      <c r="B65">
        <v>1</v>
      </c>
      <c r="E65">
        <v>1</v>
      </c>
      <c r="F65">
        <v>1</v>
      </c>
    </row>
    <row r="66" spans="1:6" x14ac:dyDescent="0.35">
      <c r="A66" s="1" t="s">
        <v>64</v>
      </c>
      <c r="B66">
        <v>1</v>
      </c>
      <c r="C66">
        <v>1</v>
      </c>
      <c r="D66">
        <v>1</v>
      </c>
      <c r="E66">
        <v>1</v>
      </c>
    </row>
    <row r="67" spans="1:6" x14ac:dyDescent="0.35">
      <c r="A67" s="1" t="s">
        <v>65</v>
      </c>
      <c r="C67">
        <v>1</v>
      </c>
      <c r="E67">
        <v>1</v>
      </c>
      <c r="F67">
        <v>1</v>
      </c>
    </row>
    <row r="68" spans="1:6" x14ac:dyDescent="0.35">
      <c r="A68" s="1" t="s">
        <v>66</v>
      </c>
      <c r="C68">
        <v>1</v>
      </c>
      <c r="E68">
        <v>1</v>
      </c>
    </row>
    <row r="69" spans="1:6" x14ac:dyDescent="0.35">
      <c r="A69" s="1" t="s">
        <v>67</v>
      </c>
      <c r="C69">
        <v>1</v>
      </c>
      <c r="D69">
        <v>1</v>
      </c>
    </row>
    <row r="70" spans="1:6" x14ac:dyDescent="0.35">
      <c r="A70" s="1" t="s">
        <v>68</v>
      </c>
      <c r="F70">
        <v>1</v>
      </c>
    </row>
    <row r="71" spans="1:6" x14ac:dyDescent="0.35">
      <c r="A71" s="1" t="s">
        <v>69</v>
      </c>
      <c r="B71">
        <v>1</v>
      </c>
      <c r="C71">
        <v>1</v>
      </c>
    </row>
    <row r="72" spans="1:6" x14ac:dyDescent="0.35">
      <c r="A72" s="1" t="s">
        <v>70</v>
      </c>
      <c r="B72">
        <v>1</v>
      </c>
      <c r="D72">
        <v>1</v>
      </c>
      <c r="F72">
        <v>1</v>
      </c>
    </row>
    <row r="73" spans="1:6" x14ac:dyDescent="0.35">
      <c r="A73" s="1" t="s">
        <v>71</v>
      </c>
      <c r="B73">
        <v>1</v>
      </c>
      <c r="C73">
        <v>1</v>
      </c>
      <c r="F73">
        <v>1</v>
      </c>
    </row>
    <row r="74" spans="1:6" x14ac:dyDescent="0.35">
      <c r="A74" s="1" t="s">
        <v>72</v>
      </c>
      <c r="D74">
        <v>1</v>
      </c>
      <c r="E74">
        <v>1</v>
      </c>
      <c r="F74">
        <v>1</v>
      </c>
    </row>
    <row r="75" spans="1:6" x14ac:dyDescent="0.35">
      <c r="A75" s="1" t="s">
        <v>73</v>
      </c>
      <c r="C75">
        <v>1</v>
      </c>
      <c r="D75">
        <v>1</v>
      </c>
      <c r="E75">
        <v>1</v>
      </c>
      <c r="F75">
        <v>1</v>
      </c>
    </row>
    <row r="76" spans="1:6" x14ac:dyDescent="0.35">
      <c r="A76" s="1" t="s">
        <v>74</v>
      </c>
      <c r="B76">
        <v>1</v>
      </c>
      <c r="C76">
        <v>1</v>
      </c>
      <c r="F76">
        <v>1</v>
      </c>
    </row>
    <row r="77" spans="1:6" x14ac:dyDescent="0.35">
      <c r="A77" s="1" t="s">
        <v>75</v>
      </c>
      <c r="B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F78">
        <v>1</v>
      </c>
    </row>
    <row r="79" spans="1:6" x14ac:dyDescent="0.35">
      <c r="A79" s="1" t="s">
        <v>77</v>
      </c>
      <c r="C79">
        <v>1</v>
      </c>
      <c r="F79">
        <v>1</v>
      </c>
    </row>
    <row r="80" spans="1:6" x14ac:dyDescent="0.35">
      <c r="A80" s="1" t="s">
        <v>78</v>
      </c>
      <c r="D80">
        <v>1</v>
      </c>
      <c r="F80">
        <v>1</v>
      </c>
    </row>
    <row r="81" spans="1:6" x14ac:dyDescent="0.35">
      <c r="A81" s="1" t="s">
        <v>79</v>
      </c>
      <c r="E81">
        <v>1</v>
      </c>
    </row>
    <row r="82" spans="1:6" x14ac:dyDescent="0.35">
      <c r="A82" s="1" t="s">
        <v>80</v>
      </c>
      <c r="B82">
        <v>1</v>
      </c>
      <c r="C82">
        <v>1</v>
      </c>
    </row>
    <row r="83" spans="1:6" x14ac:dyDescent="0.35">
      <c r="A83" s="1" t="s">
        <v>81</v>
      </c>
      <c r="C83">
        <v>1</v>
      </c>
      <c r="E83">
        <v>1</v>
      </c>
    </row>
    <row r="84" spans="1:6" x14ac:dyDescent="0.35">
      <c r="A84" s="1" t="s">
        <v>82</v>
      </c>
      <c r="F84">
        <v>1</v>
      </c>
    </row>
    <row r="85" spans="1:6" x14ac:dyDescent="0.35">
      <c r="A85" s="1" t="s">
        <v>83</v>
      </c>
      <c r="B85">
        <v>1</v>
      </c>
      <c r="C85">
        <v>1</v>
      </c>
      <c r="D85">
        <v>1</v>
      </c>
      <c r="E85">
        <v>1</v>
      </c>
      <c r="F85">
        <v>1</v>
      </c>
    </row>
    <row r="86" spans="1:6" x14ac:dyDescent="0.35">
      <c r="A86" s="1" t="s">
        <v>84</v>
      </c>
      <c r="B86">
        <v>1</v>
      </c>
    </row>
    <row r="87" spans="1:6" x14ac:dyDescent="0.35">
      <c r="A87" s="1" t="s">
        <v>85</v>
      </c>
      <c r="B87">
        <v>1</v>
      </c>
      <c r="E87">
        <v>1</v>
      </c>
      <c r="F87">
        <v>1</v>
      </c>
    </row>
    <row r="88" spans="1:6" x14ac:dyDescent="0.35">
      <c r="A88" s="1" t="s">
        <v>86</v>
      </c>
      <c r="B88">
        <v>1</v>
      </c>
      <c r="C88">
        <v>1</v>
      </c>
      <c r="D88">
        <v>1</v>
      </c>
      <c r="E88">
        <v>1</v>
      </c>
      <c r="F88">
        <v>1</v>
      </c>
    </row>
    <row r="89" spans="1:6" x14ac:dyDescent="0.35">
      <c r="A89" s="1" t="s">
        <v>87</v>
      </c>
      <c r="B89">
        <v>1</v>
      </c>
      <c r="D89">
        <v>1</v>
      </c>
      <c r="E89">
        <v>1</v>
      </c>
    </row>
    <row r="90" spans="1:6" x14ac:dyDescent="0.35">
      <c r="A90" s="1" t="s">
        <v>88</v>
      </c>
      <c r="E90">
        <v>1</v>
      </c>
    </row>
    <row r="91" spans="1:6" x14ac:dyDescent="0.35">
      <c r="A91" s="1" t="s">
        <v>89</v>
      </c>
      <c r="C91">
        <v>1</v>
      </c>
      <c r="D91">
        <v>1</v>
      </c>
      <c r="E91">
        <v>1</v>
      </c>
      <c r="F91">
        <v>1</v>
      </c>
    </row>
    <row r="92" spans="1:6" x14ac:dyDescent="0.35">
      <c r="A92" s="1" t="s">
        <v>90</v>
      </c>
      <c r="B92">
        <v>1</v>
      </c>
      <c r="C92">
        <v>1</v>
      </c>
      <c r="F92">
        <v>1</v>
      </c>
    </row>
    <row r="93" spans="1:6" x14ac:dyDescent="0.35">
      <c r="A93" s="1" t="s">
        <v>92</v>
      </c>
      <c r="B93">
        <v>1</v>
      </c>
      <c r="C93">
        <v>1</v>
      </c>
      <c r="D93">
        <v>1</v>
      </c>
      <c r="F93">
        <v>1</v>
      </c>
    </row>
    <row r="94" spans="1:6" x14ac:dyDescent="0.35">
      <c r="A94" s="1" t="s">
        <v>93</v>
      </c>
      <c r="D94">
        <v>1</v>
      </c>
      <c r="F94">
        <v>1</v>
      </c>
    </row>
    <row r="95" spans="1:6" x14ac:dyDescent="0.35">
      <c r="A95" s="1" t="s">
        <v>94</v>
      </c>
      <c r="D95">
        <v>1</v>
      </c>
      <c r="F95">
        <v>1</v>
      </c>
    </row>
    <row r="96" spans="1:6" x14ac:dyDescent="0.35">
      <c r="A96" s="1" t="s">
        <v>95</v>
      </c>
      <c r="B96">
        <v>1</v>
      </c>
      <c r="C96">
        <v>1</v>
      </c>
      <c r="D96">
        <v>1</v>
      </c>
      <c r="E96">
        <v>1</v>
      </c>
    </row>
    <row r="97" spans="1:6" x14ac:dyDescent="0.35">
      <c r="A97" s="1" t="s">
        <v>96</v>
      </c>
      <c r="B97">
        <v>1</v>
      </c>
      <c r="D97">
        <v>1</v>
      </c>
      <c r="F97">
        <v>1</v>
      </c>
    </row>
    <row r="98" spans="1:6" x14ac:dyDescent="0.35">
      <c r="A98" s="1" t="s">
        <v>97</v>
      </c>
      <c r="B98">
        <v>1</v>
      </c>
      <c r="C98">
        <v>1</v>
      </c>
      <c r="D98">
        <v>1</v>
      </c>
      <c r="E98">
        <v>1</v>
      </c>
    </row>
    <row r="99" spans="1:6" x14ac:dyDescent="0.35">
      <c r="A99" s="1" t="s">
        <v>98</v>
      </c>
      <c r="B99">
        <v>1</v>
      </c>
      <c r="C99">
        <v>1</v>
      </c>
      <c r="E99">
        <v>1</v>
      </c>
      <c r="F99">
        <v>1</v>
      </c>
    </row>
    <row r="100" spans="1:6" x14ac:dyDescent="0.35">
      <c r="A100" s="1" t="s">
        <v>99</v>
      </c>
      <c r="C100">
        <v>1</v>
      </c>
      <c r="E100">
        <v>1</v>
      </c>
    </row>
    <row r="101" spans="1:6" x14ac:dyDescent="0.35">
      <c r="A101" s="1" t="s">
        <v>101</v>
      </c>
      <c r="B101">
        <v>1</v>
      </c>
      <c r="C101">
        <v>1</v>
      </c>
      <c r="E101">
        <v>1</v>
      </c>
    </row>
    <row r="102" spans="1:6" x14ac:dyDescent="0.35">
      <c r="A102" s="1" t="s">
        <v>102</v>
      </c>
      <c r="C102">
        <v>1</v>
      </c>
      <c r="D102">
        <v>1</v>
      </c>
      <c r="F102">
        <v>1</v>
      </c>
    </row>
    <row r="103" spans="1:6" x14ac:dyDescent="0.35">
      <c r="A103" s="1" t="s">
        <v>103</v>
      </c>
      <c r="B103">
        <v>1</v>
      </c>
      <c r="C103">
        <v>1</v>
      </c>
      <c r="D103">
        <v>1</v>
      </c>
      <c r="F103">
        <v>1</v>
      </c>
    </row>
    <row r="104" spans="1:6" x14ac:dyDescent="0.35">
      <c r="A104" s="1" t="s">
        <v>104</v>
      </c>
      <c r="D104">
        <v>1</v>
      </c>
      <c r="F104">
        <v>1</v>
      </c>
    </row>
    <row r="105" spans="1:6" x14ac:dyDescent="0.35">
      <c r="A105" s="1" t="s">
        <v>105</v>
      </c>
      <c r="B105">
        <v>1</v>
      </c>
      <c r="E105">
        <v>1</v>
      </c>
    </row>
    <row r="106" spans="1:6" x14ac:dyDescent="0.35">
      <c r="A106" s="1" t="s">
        <v>106</v>
      </c>
      <c r="B106">
        <v>1</v>
      </c>
      <c r="C106">
        <v>1</v>
      </c>
      <c r="D106">
        <v>1</v>
      </c>
      <c r="E106">
        <v>1</v>
      </c>
    </row>
    <row r="107" spans="1:6" x14ac:dyDescent="0.35">
      <c r="A107" s="1" t="s">
        <v>107</v>
      </c>
      <c r="B107">
        <v>1</v>
      </c>
      <c r="E107">
        <v>1</v>
      </c>
    </row>
    <row r="108" spans="1:6" x14ac:dyDescent="0.35">
      <c r="A108" s="1" t="s">
        <v>108</v>
      </c>
      <c r="B108">
        <v>1</v>
      </c>
      <c r="C108">
        <v>1</v>
      </c>
      <c r="D108">
        <v>1</v>
      </c>
    </row>
    <row r="109" spans="1:6" x14ac:dyDescent="0.35">
      <c r="A109" s="1" t="s">
        <v>109</v>
      </c>
      <c r="C109">
        <v>1</v>
      </c>
      <c r="D109">
        <v>1</v>
      </c>
      <c r="E109">
        <v>1</v>
      </c>
      <c r="F109">
        <v>1</v>
      </c>
    </row>
    <row r="110" spans="1:6" x14ac:dyDescent="0.35">
      <c r="A110" s="1" t="s">
        <v>110</v>
      </c>
      <c r="F110">
        <v>1</v>
      </c>
    </row>
    <row r="111" spans="1:6" x14ac:dyDescent="0.35">
      <c r="A111" s="1" t="s">
        <v>111</v>
      </c>
      <c r="B111">
        <v>1</v>
      </c>
      <c r="D111">
        <v>1</v>
      </c>
      <c r="F111">
        <v>1</v>
      </c>
    </row>
    <row r="112" spans="1:6" x14ac:dyDescent="0.35">
      <c r="A112" s="1" t="s">
        <v>112</v>
      </c>
      <c r="B112">
        <v>1</v>
      </c>
      <c r="C112">
        <v>1</v>
      </c>
      <c r="D112">
        <v>1</v>
      </c>
      <c r="F112">
        <v>1</v>
      </c>
    </row>
    <row r="113" spans="1:6" x14ac:dyDescent="0.35">
      <c r="A113" s="1" t="s">
        <v>113</v>
      </c>
      <c r="B113">
        <v>1</v>
      </c>
      <c r="C113">
        <v>1</v>
      </c>
      <c r="E113">
        <v>1</v>
      </c>
    </row>
    <row r="114" spans="1:6" x14ac:dyDescent="0.35">
      <c r="A114" s="1" t="s">
        <v>115</v>
      </c>
      <c r="D114">
        <v>1</v>
      </c>
      <c r="F114">
        <v>1</v>
      </c>
    </row>
    <row r="115" spans="1:6" x14ac:dyDescent="0.35">
      <c r="A115" s="1" t="s">
        <v>116</v>
      </c>
      <c r="B115">
        <v>1</v>
      </c>
      <c r="C115">
        <v>1</v>
      </c>
      <c r="D115">
        <v>1</v>
      </c>
      <c r="E115">
        <v>1</v>
      </c>
      <c r="F115">
        <v>1</v>
      </c>
    </row>
    <row r="116" spans="1:6" x14ac:dyDescent="0.35">
      <c r="A116" s="1" t="s">
        <v>117</v>
      </c>
      <c r="C116">
        <v>1</v>
      </c>
    </row>
    <row r="117" spans="1:6" x14ac:dyDescent="0.35">
      <c r="A117" s="1" t="s">
        <v>118</v>
      </c>
      <c r="E117">
        <v>1</v>
      </c>
      <c r="F117">
        <v>1</v>
      </c>
    </row>
    <row r="118" spans="1:6" x14ac:dyDescent="0.35">
      <c r="A118" s="1" t="s">
        <v>119</v>
      </c>
      <c r="D118">
        <v>1</v>
      </c>
    </row>
    <row r="119" spans="1:6" x14ac:dyDescent="0.35">
      <c r="A119" s="1" t="s">
        <v>120</v>
      </c>
      <c r="B119">
        <v>1</v>
      </c>
    </row>
    <row r="120" spans="1:6" x14ac:dyDescent="0.35">
      <c r="A120" s="1" t="s">
        <v>121</v>
      </c>
      <c r="C120">
        <v>1</v>
      </c>
      <c r="D120">
        <v>1</v>
      </c>
    </row>
    <row r="121" spans="1:6" x14ac:dyDescent="0.35">
      <c r="A121" s="1" t="s">
        <v>122</v>
      </c>
      <c r="B121">
        <v>1</v>
      </c>
      <c r="C121">
        <v>1</v>
      </c>
    </row>
    <row r="122" spans="1:6" x14ac:dyDescent="0.35">
      <c r="A122" s="1" t="s">
        <v>123</v>
      </c>
      <c r="B122">
        <v>1</v>
      </c>
      <c r="C122">
        <v>1</v>
      </c>
      <c r="E122">
        <v>1</v>
      </c>
      <c r="F122">
        <v>1</v>
      </c>
    </row>
    <row r="123" spans="1:6" x14ac:dyDescent="0.35">
      <c r="A123" s="1" t="s">
        <v>124</v>
      </c>
      <c r="B123">
        <v>1</v>
      </c>
      <c r="E123">
        <v>1</v>
      </c>
    </row>
    <row r="124" spans="1:6" x14ac:dyDescent="0.35">
      <c r="A124" s="1" t="s">
        <v>125</v>
      </c>
      <c r="B124">
        <v>1</v>
      </c>
      <c r="C124">
        <v>1</v>
      </c>
      <c r="D124">
        <v>1</v>
      </c>
      <c r="E124">
        <v>1</v>
      </c>
    </row>
    <row r="125" spans="1:6" x14ac:dyDescent="0.35">
      <c r="A125" s="1" t="s">
        <v>126</v>
      </c>
      <c r="B125">
        <v>1</v>
      </c>
      <c r="E125">
        <v>1</v>
      </c>
      <c r="F125">
        <v>1</v>
      </c>
    </row>
    <row r="126" spans="1:6" x14ac:dyDescent="0.35">
      <c r="A126" s="1" t="s">
        <v>127</v>
      </c>
      <c r="E126">
        <v>1</v>
      </c>
    </row>
    <row r="127" spans="1:6" x14ac:dyDescent="0.35">
      <c r="A127" s="1" t="s">
        <v>128</v>
      </c>
      <c r="C127">
        <v>1</v>
      </c>
    </row>
    <row r="128" spans="1:6" x14ac:dyDescent="0.35">
      <c r="A128" s="1" t="s">
        <v>129</v>
      </c>
      <c r="B128">
        <v>1</v>
      </c>
      <c r="C128">
        <v>1</v>
      </c>
      <c r="E128">
        <v>1</v>
      </c>
      <c r="F128">
        <v>1</v>
      </c>
    </row>
    <row r="129" spans="1:6" x14ac:dyDescent="0.35">
      <c r="A129" s="1" t="s">
        <v>130</v>
      </c>
      <c r="B129">
        <v>1</v>
      </c>
      <c r="C129">
        <v>1</v>
      </c>
    </row>
    <row r="130" spans="1:6" x14ac:dyDescent="0.35">
      <c r="A130" s="1" t="s">
        <v>131</v>
      </c>
      <c r="C130">
        <v>1</v>
      </c>
      <c r="D130">
        <v>1</v>
      </c>
      <c r="F130">
        <v>1</v>
      </c>
    </row>
    <row r="131" spans="1:6" x14ac:dyDescent="0.35">
      <c r="A131" s="1" t="s">
        <v>132</v>
      </c>
      <c r="C131">
        <v>1</v>
      </c>
      <c r="D131">
        <v>1</v>
      </c>
      <c r="E131">
        <v>1</v>
      </c>
      <c r="F131">
        <v>1</v>
      </c>
    </row>
    <row r="132" spans="1:6" x14ac:dyDescent="0.35">
      <c r="A132" s="1" t="s">
        <v>133</v>
      </c>
      <c r="B132">
        <v>1</v>
      </c>
      <c r="D132">
        <v>1</v>
      </c>
      <c r="E132">
        <v>1</v>
      </c>
    </row>
    <row r="133" spans="1:6" x14ac:dyDescent="0.35">
      <c r="A133" s="1" t="s">
        <v>135</v>
      </c>
      <c r="C133">
        <v>1</v>
      </c>
      <c r="E133">
        <v>1</v>
      </c>
      <c r="F133">
        <v>1</v>
      </c>
    </row>
    <row r="134" spans="1:6" x14ac:dyDescent="0.35">
      <c r="A134" s="1" t="s">
        <v>136</v>
      </c>
      <c r="B134">
        <v>1</v>
      </c>
      <c r="C134">
        <v>1</v>
      </c>
      <c r="D134">
        <v>1</v>
      </c>
      <c r="E134">
        <v>1</v>
      </c>
    </row>
    <row r="135" spans="1:6" x14ac:dyDescent="0.35">
      <c r="A135" s="1" t="s">
        <v>137</v>
      </c>
      <c r="B135">
        <v>1</v>
      </c>
      <c r="C135">
        <v>1</v>
      </c>
      <c r="D135">
        <v>1</v>
      </c>
    </row>
    <row r="136" spans="1:6" x14ac:dyDescent="0.35">
      <c r="A136" s="1" t="s">
        <v>138</v>
      </c>
      <c r="B136">
        <v>1</v>
      </c>
    </row>
    <row r="137" spans="1:6" x14ac:dyDescent="0.35">
      <c r="A137" s="1" t="s">
        <v>139</v>
      </c>
      <c r="C137">
        <v>1</v>
      </c>
      <c r="E137">
        <v>1</v>
      </c>
      <c r="F137">
        <v>1</v>
      </c>
    </row>
    <row r="138" spans="1:6" x14ac:dyDescent="0.35">
      <c r="A138" s="1" t="s">
        <v>140</v>
      </c>
      <c r="B138">
        <v>1</v>
      </c>
      <c r="C138">
        <v>1</v>
      </c>
      <c r="D138">
        <v>1</v>
      </c>
      <c r="E138">
        <v>1</v>
      </c>
      <c r="F138">
        <v>1</v>
      </c>
    </row>
    <row r="139" spans="1:6" x14ac:dyDescent="0.35">
      <c r="A139" s="1" t="s">
        <v>141</v>
      </c>
      <c r="B139">
        <v>1</v>
      </c>
      <c r="C139">
        <v>1</v>
      </c>
      <c r="D139">
        <v>1</v>
      </c>
      <c r="E139">
        <v>1</v>
      </c>
      <c r="F139">
        <v>1</v>
      </c>
    </row>
    <row r="140" spans="1:6" x14ac:dyDescent="0.35">
      <c r="A140" s="1" t="s">
        <v>142</v>
      </c>
      <c r="D140">
        <v>1</v>
      </c>
      <c r="F140">
        <v>1</v>
      </c>
    </row>
    <row r="141" spans="1:6" x14ac:dyDescent="0.35">
      <c r="A141" s="1" t="s">
        <v>143</v>
      </c>
      <c r="C141">
        <v>1</v>
      </c>
    </row>
    <row r="142" spans="1:6" x14ac:dyDescent="0.35">
      <c r="A142" s="1" t="s">
        <v>144</v>
      </c>
      <c r="B142">
        <v>1</v>
      </c>
      <c r="C142">
        <v>1</v>
      </c>
      <c r="D142">
        <v>1</v>
      </c>
    </row>
    <row r="143" spans="1:6" x14ac:dyDescent="0.35">
      <c r="A143" s="1" t="s">
        <v>145</v>
      </c>
      <c r="C143">
        <v>1</v>
      </c>
      <c r="E143">
        <v>1</v>
      </c>
      <c r="F143">
        <v>1</v>
      </c>
    </row>
    <row r="144" spans="1:6" x14ac:dyDescent="0.35">
      <c r="A144" s="1" t="s">
        <v>146</v>
      </c>
      <c r="B144">
        <v>1</v>
      </c>
      <c r="C144">
        <v>1</v>
      </c>
      <c r="E144">
        <v>1</v>
      </c>
    </row>
    <row r="145" spans="1:6" x14ac:dyDescent="0.35">
      <c r="A145" s="1" t="s">
        <v>147</v>
      </c>
      <c r="B145">
        <v>1</v>
      </c>
      <c r="C145">
        <v>1</v>
      </c>
      <c r="D145">
        <v>1</v>
      </c>
      <c r="E145">
        <v>1</v>
      </c>
    </row>
    <row r="146" spans="1:6" x14ac:dyDescent="0.35">
      <c r="A146" s="1" t="s">
        <v>148</v>
      </c>
      <c r="C146">
        <v>1</v>
      </c>
      <c r="D146">
        <v>1</v>
      </c>
      <c r="E146">
        <v>1</v>
      </c>
      <c r="F146">
        <v>1</v>
      </c>
    </row>
    <row r="147" spans="1:6" x14ac:dyDescent="0.35">
      <c r="A147" s="1" t="s">
        <v>149</v>
      </c>
      <c r="C147">
        <v>1</v>
      </c>
      <c r="D147">
        <v>1</v>
      </c>
    </row>
    <row r="148" spans="1:6" x14ac:dyDescent="0.35">
      <c r="A148" s="1" t="s">
        <v>150</v>
      </c>
      <c r="D148">
        <v>1</v>
      </c>
    </row>
    <row r="149" spans="1:6" x14ac:dyDescent="0.35">
      <c r="A149" s="1" t="s">
        <v>151</v>
      </c>
      <c r="C149">
        <v>1</v>
      </c>
      <c r="D149">
        <v>1</v>
      </c>
    </row>
    <row r="150" spans="1:6" x14ac:dyDescent="0.35">
      <c r="A150" s="1" t="s">
        <v>152</v>
      </c>
      <c r="B150">
        <v>1</v>
      </c>
      <c r="C150">
        <v>1</v>
      </c>
      <c r="D150">
        <v>1</v>
      </c>
      <c r="E150">
        <v>1</v>
      </c>
      <c r="F150">
        <v>1</v>
      </c>
    </row>
    <row r="151" spans="1:6" x14ac:dyDescent="0.35">
      <c r="A151" s="1" t="s">
        <v>153</v>
      </c>
      <c r="B151">
        <v>1</v>
      </c>
      <c r="C151">
        <v>1</v>
      </c>
      <c r="E151">
        <v>1</v>
      </c>
      <c r="F151">
        <v>1</v>
      </c>
    </row>
    <row r="152" spans="1:6" x14ac:dyDescent="0.35">
      <c r="A152" s="1" t="s">
        <v>154</v>
      </c>
      <c r="B152">
        <v>1</v>
      </c>
      <c r="C152">
        <v>1</v>
      </c>
      <c r="D152">
        <v>1</v>
      </c>
      <c r="E152">
        <v>1</v>
      </c>
      <c r="F152">
        <v>1</v>
      </c>
    </row>
    <row r="153" spans="1:6" x14ac:dyDescent="0.35">
      <c r="A153" s="1" t="s">
        <v>155</v>
      </c>
      <c r="B153">
        <v>1</v>
      </c>
      <c r="C153">
        <v>1</v>
      </c>
      <c r="D153">
        <v>1</v>
      </c>
      <c r="F153">
        <v>1</v>
      </c>
    </row>
    <row r="154" spans="1:6" x14ac:dyDescent="0.35">
      <c r="A154" s="1" t="s">
        <v>156</v>
      </c>
      <c r="B154">
        <v>1</v>
      </c>
      <c r="E154">
        <v>1</v>
      </c>
    </row>
    <row r="155" spans="1:6" x14ac:dyDescent="0.35">
      <c r="A155" s="1" t="s">
        <v>157</v>
      </c>
      <c r="C155">
        <v>1</v>
      </c>
      <c r="D155">
        <v>1</v>
      </c>
      <c r="E155">
        <v>1</v>
      </c>
      <c r="F155">
        <v>1</v>
      </c>
    </row>
    <row r="156" spans="1:6" x14ac:dyDescent="0.35">
      <c r="A156" s="1" t="s">
        <v>158</v>
      </c>
      <c r="B156">
        <v>1</v>
      </c>
      <c r="D156">
        <v>1</v>
      </c>
      <c r="F156">
        <v>1</v>
      </c>
    </row>
    <row r="157" spans="1:6" x14ac:dyDescent="0.35">
      <c r="A157" s="1" t="s">
        <v>159</v>
      </c>
      <c r="B157">
        <v>1</v>
      </c>
      <c r="C157">
        <v>1</v>
      </c>
      <c r="D157">
        <v>1</v>
      </c>
      <c r="E157">
        <v>1</v>
      </c>
    </row>
    <row r="158" spans="1:6" x14ac:dyDescent="0.35">
      <c r="A158" s="1" t="s">
        <v>160</v>
      </c>
      <c r="C158">
        <v>1</v>
      </c>
      <c r="E158">
        <v>1</v>
      </c>
    </row>
    <row r="159" spans="1:6" x14ac:dyDescent="0.35">
      <c r="A159" s="1" t="s">
        <v>161</v>
      </c>
      <c r="D159">
        <v>1</v>
      </c>
      <c r="F159">
        <v>1</v>
      </c>
    </row>
    <row r="160" spans="1:6" x14ac:dyDescent="0.35">
      <c r="A160" s="1" t="s">
        <v>162</v>
      </c>
      <c r="B160">
        <v>1</v>
      </c>
    </row>
    <row r="161" spans="1:6" x14ac:dyDescent="0.35">
      <c r="A161" s="1" t="s">
        <v>163</v>
      </c>
      <c r="D161">
        <v>1</v>
      </c>
      <c r="F161">
        <v>1</v>
      </c>
    </row>
    <row r="162" spans="1:6" x14ac:dyDescent="0.35">
      <c r="A162" s="1" t="s">
        <v>164</v>
      </c>
      <c r="B162">
        <v>1</v>
      </c>
      <c r="F162">
        <v>1</v>
      </c>
    </row>
    <row r="163" spans="1:6" x14ac:dyDescent="0.35">
      <c r="A163" s="1" t="s">
        <v>165</v>
      </c>
      <c r="B163">
        <v>1</v>
      </c>
      <c r="C163">
        <v>1</v>
      </c>
    </row>
    <row r="164" spans="1:6" x14ac:dyDescent="0.35">
      <c r="A164" s="1" t="s">
        <v>166</v>
      </c>
      <c r="D164">
        <v>1</v>
      </c>
    </row>
    <row r="165" spans="1:6" x14ac:dyDescent="0.35">
      <c r="A165" s="1" t="s">
        <v>167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168</v>
      </c>
      <c r="B166">
        <v>1</v>
      </c>
      <c r="C166">
        <v>1</v>
      </c>
      <c r="E166">
        <v>1</v>
      </c>
      <c r="F166">
        <v>1</v>
      </c>
    </row>
    <row r="167" spans="1:6" x14ac:dyDescent="0.35">
      <c r="A167" s="1" t="s">
        <v>169</v>
      </c>
      <c r="C167">
        <v>1</v>
      </c>
      <c r="E167">
        <v>1</v>
      </c>
      <c r="F167">
        <v>1</v>
      </c>
    </row>
    <row r="168" spans="1:6" x14ac:dyDescent="0.35">
      <c r="A168" s="1" t="s">
        <v>170</v>
      </c>
      <c r="B168">
        <v>1</v>
      </c>
      <c r="C168">
        <v>1</v>
      </c>
      <c r="D168">
        <v>1</v>
      </c>
      <c r="F168">
        <v>1</v>
      </c>
    </row>
    <row r="169" spans="1:6" x14ac:dyDescent="0.35">
      <c r="A169" s="1" t="s">
        <v>171</v>
      </c>
      <c r="B169">
        <v>1</v>
      </c>
      <c r="C169">
        <v>1</v>
      </c>
      <c r="D169">
        <v>1</v>
      </c>
      <c r="E169">
        <v>1</v>
      </c>
      <c r="F169">
        <v>1</v>
      </c>
    </row>
    <row r="170" spans="1:6" x14ac:dyDescent="0.35">
      <c r="A170" s="1" t="s">
        <v>172</v>
      </c>
      <c r="C170">
        <v>1</v>
      </c>
      <c r="D170">
        <v>1</v>
      </c>
    </row>
    <row r="171" spans="1:6" x14ac:dyDescent="0.35">
      <c r="A171" s="1" t="s">
        <v>173</v>
      </c>
      <c r="E171">
        <v>1</v>
      </c>
      <c r="F171">
        <v>1</v>
      </c>
    </row>
    <row r="172" spans="1:6" x14ac:dyDescent="0.35">
      <c r="A172" s="1" t="s">
        <v>174</v>
      </c>
      <c r="C172">
        <v>1</v>
      </c>
      <c r="D172">
        <v>1</v>
      </c>
      <c r="E172">
        <v>1</v>
      </c>
    </row>
    <row r="173" spans="1:6" x14ac:dyDescent="0.35">
      <c r="A173" s="1" t="s">
        <v>175</v>
      </c>
      <c r="B173">
        <v>1</v>
      </c>
      <c r="E173">
        <v>1</v>
      </c>
      <c r="F173">
        <v>1</v>
      </c>
    </row>
    <row r="174" spans="1:6" x14ac:dyDescent="0.35">
      <c r="A174" s="1" t="s">
        <v>176</v>
      </c>
      <c r="D174">
        <v>1</v>
      </c>
    </row>
    <row r="175" spans="1:6" x14ac:dyDescent="0.35">
      <c r="A175" s="1" t="s">
        <v>177</v>
      </c>
      <c r="D175">
        <v>1</v>
      </c>
    </row>
    <row r="176" spans="1:6" x14ac:dyDescent="0.35">
      <c r="A176" s="1" t="s">
        <v>178</v>
      </c>
      <c r="B176">
        <v>1</v>
      </c>
      <c r="D176">
        <v>1</v>
      </c>
      <c r="E176">
        <v>1</v>
      </c>
    </row>
    <row r="177" spans="1:6" x14ac:dyDescent="0.35">
      <c r="A177" s="1" t="s">
        <v>179</v>
      </c>
      <c r="B177">
        <v>1</v>
      </c>
      <c r="C177">
        <v>1</v>
      </c>
      <c r="E177">
        <v>1</v>
      </c>
      <c r="F177">
        <v>1</v>
      </c>
    </row>
    <row r="178" spans="1:6" x14ac:dyDescent="0.35">
      <c r="A178" s="1" t="s">
        <v>180</v>
      </c>
      <c r="C178">
        <v>1</v>
      </c>
    </row>
    <row r="179" spans="1:6" x14ac:dyDescent="0.35">
      <c r="A179" s="1" t="s">
        <v>181</v>
      </c>
      <c r="C179">
        <v>1</v>
      </c>
      <c r="F179">
        <v>1</v>
      </c>
    </row>
    <row r="180" spans="1:6" x14ac:dyDescent="0.35">
      <c r="A180" s="1" t="s">
        <v>182</v>
      </c>
      <c r="C180">
        <v>1</v>
      </c>
      <c r="D180">
        <v>1</v>
      </c>
      <c r="E180">
        <v>1</v>
      </c>
    </row>
    <row r="181" spans="1:6" x14ac:dyDescent="0.35">
      <c r="A181" s="1" t="s">
        <v>183</v>
      </c>
      <c r="D181">
        <v>1</v>
      </c>
      <c r="F181">
        <v>1</v>
      </c>
    </row>
    <row r="182" spans="1:6" x14ac:dyDescent="0.35">
      <c r="A182" s="1" t="s">
        <v>184</v>
      </c>
      <c r="B182">
        <v>1</v>
      </c>
      <c r="C182">
        <v>1</v>
      </c>
      <c r="F182">
        <v>1</v>
      </c>
    </row>
    <row r="183" spans="1:6" x14ac:dyDescent="0.35">
      <c r="A183" s="1" t="s">
        <v>185</v>
      </c>
      <c r="C183">
        <v>1</v>
      </c>
    </row>
    <row r="184" spans="1:6" x14ac:dyDescent="0.35">
      <c r="A184" s="1" t="s">
        <v>186</v>
      </c>
      <c r="C184">
        <v>1</v>
      </c>
    </row>
    <row r="185" spans="1:6" x14ac:dyDescent="0.35">
      <c r="A185" s="1" t="s">
        <v>187</v>
      </c>
      <c r="B185">
        <v>1</v>
      </c>
      <c r="C185">
        <v>1</v>
      </c>
      <c r="D185">
        <v>1</v>
      </c>
      <c r="E185">
        <v>1</v>
      </c>
    </row>
    <row r="186" spans="1:6" x14ac:dyDescent="0.35">
      <c r="A186" s="1" t="s">
        <v>188</v>
      </c>
      <c r="B186">
        <v>1</v>
      </c>
      <c r="C186">
        <v>1</v>
      </c>
      <c r="F186">
        <v>1</v>
      </c>
    </row>
    <row r="187" spans="1:6" x14ac:dyDescent="0.35">
      <c r="A187" s="1" t="s">
        <v>189</v>
      </c>
      <c r="B187">
        <v>1</v>
      </c>
      <c r="C187">
        <v>1</v>
      </c>
      <c r="F187">
        <v>1</v>
      </c>
    </row>
    <row r="188" spans="1:6" x14ac:dyDescent="0.35">
      <c r="A188" s="1" t="s">
        <v>190</v>
      </c>
      <c r="C188">
        <v>1</v>
      </c>
    </row>
    <row r="189" spans="1:6" x14ac:dyDescent="0.35">
      <c r="A189" s="1" t="s">
        <v>191</v>
      </c>
      <c r="D189">
        <v>1</v>
      </c>
      <c r="F189">
        <v>1</v>
      </c>
    </row>
    <row r="190" spans="1:6" x14ac:dyDescent="0.35">
      <c r="A190" s="1" t="s">
        <v>192</v>
      </c>
      <c r="B190">
        <v>1</v>
      </c>
      <c r="F190">
        <v>1</v>
      </c>
    </row>
    <row r="191" spans="1:6" x14ac:dyDescent="0.35">
      <c r="A191" s="1" t="s">
        <v>193</v>
      </c>
      <c r="B191">
        <v>1</v>
      </c>
      <c r="D191">
        <v>1</v>
      </c>
    </row>
    <row r="192" spans="1:6" x14ac:dyDescent="0.35">
      <c r="A192" s="1" t="s">
        <v>194</v>
      </c>
      <c r="B192">
        <v>1</v>
      </c>
      <c r="D192">
        <v>1</v>
      </c>
      <c r="E192">
        <v>1</v>
      </c>
      <c r="F192">
        <v>1</v>
      </c>
    </row>
    <row r="193" spans="1:6" x14ac:dyDescent="0.35">
      <c r="A193" s="1" t="s">
        <v>195</v>
      </c>
      <c r="B193">
        <v>1</v>
      </c>
      <c r="F193">
        <v>1</v>
      </c>
    </row>
    <row r="194" spans="1:6" x14ac:dyDescent="0.35">
      <c r="A194" s="1" t="s">
        <v>196</v>
      </c>
      <c r="D194">
        <v>1</v>
      </c>
      <c r="F194">
        <v>1</v>
      </c>
    </row>
    <row r="195" spans="1:6" x14ac:dyDescent="0.35">
      <c r="A195" s="1" t="s">
        <v>197</v>
      </c>
      <c r="B195">
        <v>1</v>
      </c>
      <c r="C195">
        <v>1</v>
      </c>
    </row>
    <row r="196" spans="1:6" x14ac:dyDescent="0.35">
      <c r="A196" s="1" t="s">
        <v>198</v>
      </c>
      <c r="C196">
        <v>1</v>
      </c>
      <c r="E196">
        <v>1</v>
      </c>
    </row>
    <row r="197" spans="1:6" x14ac:dyDescent="0.35">
      <c r="A197" s="1" t="s">
        <v>199</v>
      </c>
      <c r="D197">
        <v>1</v>
      </c>
    </row>
    <row r="198" spans="1:6" x14ac:dyDescent="0.35">
      <c r="A198" s="1" t="s">
        <v>200</v>
      </c>
      <c r="B198">
        <v>1</v>
      </c>
      <c r="D198">
        <v>1</v>
      </c>
      <c r="E198">
        <v>1</v>
      </c>
    </row>
    <row r="199" spans="1:6" x14ac:dyDescent="0.35">
      <c r="A199" s="1" t="s">
        <v>201</v>
      </c>
      <c r="B199">
        <v>1</v>
      </c>
      <c r="D199">
        <v>1</v>
      </c>
      <c r="F199">
        <v>1</v>
      </c>
    </row>
    <row r="200" spans="1:6" x14ac:dyDescent="0.35">
      <c r="A200" s="1" t="s">
        <v>202</v>
      </c>
      <c r="D200">
        <v>1</v>
      </c>
    </row>
    <row r="201" spans="1:6" x14ac:dyDescent="0.35">
      <c r="A201" s="1" t="s">
        <v>203</v>
      </c>
      <c r="B201">
        <v>1</v>
      </c>
      <c r="C201">
        <v>1</v>
      </c>
      <c r="E201">
        <v>1</v>
      </c>
      <c r="F201">
        <v>1</v>
      </c>
    </row>
    <row r="202" spans="1:6" x14ac:dyDescent="0.35">
      <c r="A202" s="1" t="s">
        <v>204</v>
      </c>
      <c r="B202">
        <v>1</v>
      </c>
      <c r="D202">
        <v>1</v>
      </c>
    </row>
    <row r="203" spans="1:6" x14ac:dyDescent="0.35">
      <c r="A203" s="1" t="s">
        <v>205</v>
      </c>
      <c r="F203">
        <v>1</v>
      </c>
    </row>
    <row r="204" spans="1:6" x14ac:dyDescent="0.35">
      <c r="A204" s="1" t="s">
        <v>206</v>
      </c>
      <c r="C204">
        <v>1</v>
      </c>
      <c r="D204">
        <v>1</v>
      </c>
      <c r="E204">
        <v>1</v>
      </c>
      <c r="F204">
        <v>1</v>
      </c>
    </row>
    <row r="205" spans="1:6" x14ac:dyDescent="0.35">
      <c r="A205" s="1" t="s">
        <v>207</v>
      </c>
      <c r="F205">
        <v>1</v>
      </c>
    </row>
    <row r="206" spans="1:6" x14ac:dyDescent="0.35">
      <c r="A206" s="1" t="s">
        <v>208</v>
      </c>
      <c r="B206">
        <v>1</v>
      </c>
      <c r="D206">
        <v>1</v>
      </c>
    </row>
    <row r="207" spans="1:6" x14ac:dyDescent="0.35">
      <c r="A207" s="1" t="s">
        <v>209</v>
      </c>
      <c r="B207">
        <v>1</v>
      </c>
      <c r="C207">
        <v>1</v>
      </c>
    </row>
    <row r="208" spans="1:6" x14ac:dyDescent="0.35">
      <c r="A208" s="1" t="s">
        <v>210</v>
      </c>
      <c r="B208">
        <v>1</v>
      </c>
      <c r="C208">
        <v>1</v>
      </c>
      <c r="E208">
        <v>1</v>
      </c>
    </row>
    <row r="209" spans="1:6" x14ac:dyDescent="0.35">
      <c r="A209" s="1" t="s">
        <v>211</v>
      </c>
      <c r="B209">
        <v>1</v>
      </c>
      <c r="C209">
        <v>1</v>
      </c>
      <c r="D209">
        <v>1</v>
      </c>
      <c r="E209">
        <v>1</v>
      </c>
      <c r="F209">
        <v>1</v>
      </c>
    </row>
    <row r="210" spans="1:6" x14ac:dyDescent="0.35">
      <c r="A210" s="1" t="s">
        <v>212</v>
      </c>
      <c r="B210">
        <v>1</v>
      </c>
      <c r="C210">
        <v>1</v>
      </c>
      <c r="F210">
        <v>1</v>
      </c>
    </row>
    <row r="211" spans="1:6" x14ac:dyDescent="0.35">
      <c r="A211" s="1" t="s">
        <v>213</v>
      </c>
      <c r="B211">
        <v>1</v>
      </c>
      <c r="C211">
        <v>1</v>
      </c>
      <c r="D211">
        <v>1</v>
      </c>
    </row>
    <row r="212" spans="1:6" x14ac:dyDescent="0.35">
      <c r="A212" s="1" t="s">
        <v>215</v>
      </c>
      <c r="D212">
        <v>1</v>
      </c>
      <c r="E212">
        <v>1</v>
      </c>
      <c r="F212">
        <v>1</v>
      </c>
    </row>
    <row r="213" spans="1:6" x14ac:dyDescent="0.35">
      <c r="A213" s="1" t="s">
        <v>216</v>
      </c>
      <c r="B213">
        <v>1</v>
      </c>
      <c r="C213">
        <v>1</v>
      </c>
      <c r="E213">
        <v>1</v>
      </c>
      <c r="F213">
        <v>1</v>
      </c>
    </row>
    <row r="214" spans="1:6" x14ac:dyDescent="0.35">
      <c r="A214" s="1" t="s">
        <v>217</v>
      </c>
      <c r="B214">
        <v>1</v>
      </c>
      <c r="E214">
        <v>1</v>
      </c>
      <c r="F214">
        <v>1</v>
      </c>
    </row>
    <row r="215" spans="1:6" x14ac:dyDescent="0.35">
      <c r="A215" s="1" t="s">
        <v>218</v>
      </c>
      <c r="B215">
        <v>1</v>
      </c>
      <c r="C215">
        <v>1</v>
      </c>
      <c r="E215">
        <v>1</v>
      </c>
      <c r="F215">
        <v>1</v>
      </c>
    </row>
    <row r="216" spans="1:6" x14ac:dyDescent="0.35">
      <c r="A216" s="1" t="s">
        <v>219</v>
      </c>
      <c r="C216">
        <v>1</v>
      </c>
      <c r="D216">
        <v>1</v>
      </c>
      <c r="E216">
        <v>1</v>
      </c>
      <c r="F216">
        <v>1</v>
      </c>
    </row>
    <row r="217" spans="1:6" x14ac:dyDescent="0.35">
      <c r="A217" s="1" t="s">
        <v>220</v>
      </c>
      <c r="C217">
        <v>1</v>
      </c>
      <c r="D217">
        <v>1</v>
      </c>
      <c r="E217">
        <v>1</v>
      </c>
    </row>
    <row r="218" spans="1:6" x14ac:dyDescent="0.35">
      <c r="A218" s="1" t="s">
        <v>221</v>
      </c>
      <c r="B218">
        <v>1</v>
      </c>
      <c r="C218">
        <v>1</v>
      </c>
      <c r="D218">
        <v>1</v>
      </c>
    </row>
    <row r="219" spans="1:6" x14ac:dyDescent="0.35">
      <c r="A219" s="1" t="s">
        <v>222</v>
      </c>
      <c r="C219">
        <v>1</v>
      </c>
      <c r="D219">
        <v>1</v>
      </c>
      <c r="E219">
        <v>1</v>
      </c>
    </row>
    <row r="220" spans="1:6" x14ac:dyDescent="0.35">
      <c r="A220" s="1" t="s">
        <v>223</v>
      </c>
      <c r="D220">
        <v>1</v>
      </c>
      <c r="E220">
        <v>1</v>
      </c>
    </row>
    <row r="221" spans="1:6" x14ac:dyDescent="0.35">
      <c r="A221" s="1" t="s">
        <v>224</v>
      </c>
      <c r="B221">
        <v>1</v>
      </c>
      <c r="C221">
        <v>1</v>
      </c>
      <c r="D221">
        <v>1</v>
      </c>
    </row>
    <row r="222" spans="1:6" x14ac:dyDescent="0.35">
      <c r="A222" s="1" t="s">
        <v>225</v>
      </c>
      <c r="B222">
        <v>1</v>
      </c>
      <c r="D222">
        <v>1</v>
      </c>
      <c r="E222">
        <v>1</v>
      </c>
    </row>
    <row r="223" spans="1:6" x14ac:dyDescent="0.35">
      <c r="A223" s="1" t="s">
        <v>226</v>
      </c>
      <c r="B223">
        <v>1</v>
      </c>
      <c r="C223">
        <v>1</v>
      </c>
    </row>
    <row r="224" spans="1:6" x14ac:dyDescent="0.35">
      <c r="A224" s="1" t="s">
        <v>227</v>
      </c>
      <c r="B224">
        <v>1</v>
      </c>
      <c r="E224">
        <v>1</v>
      </c>
      <c r="F224">
        <v>1</v>
      </c>
    </row>
    <row r="225" spans="1:6" x14ac:dyDescent="0.35">
      <c r="A225" s="1" t="s">
        <v>229</v>
      </c>
      <c r="B225">
        <v>1</v>
      </c>
      <c r="F225">
        <v>1</v>
      </c>
    </row>
    <row r="226" spans="1:6" x14ac:dyDescent="0.35">
      <c r="A226" s="1" t="s">
        <v>230</v>
      </c>
      <c r="B226">
        <v>1</v>
      </c>
      <c r="C226">
        <v>1</v>
      </c>
      <c r="D226">
        <v>1</v>
      </c>
      <c r="F226">
        <v>1</v>
      </c>
    </row>
    <row r="227" spans="1:6" x14ac:dyDescent="0.35">
      <c r="A227" s="1" t="s">
        <v>231</v>
      </c>
      <c r="B227">
        <v>1</v>
      </c>
      <c r="C227">
        <v>1</v>
      </c>
      <c r="D227">
        <v>1</v>
      </c>
      <c r="F227">
        <v>1</v>
      </c>
    </row>
    <row r="228" spans="1:6" x14ac:dyDescent="0.35">
      <c r="A228" s="1" t="s">
        <v>232</v>
      </c>
      <c r="B228">
        <v>1</v>
      </c>
      <c r="D228">
        <v>1</v>
      </c>
      <c r="F228">
        <v>1</v>
      </c>
    </row>
    <row r="229" spans="1:6" x14ac:dyDescent="0.35">
      <c r="A229" s="1" t="s">
        <v>233</v>
      </c>
      <c r="B229">
        <v>1</v>
      </c>
      <c r="C229">
        <v>1</v>
      </c>
      <c r="F229">
        <v>1</v>
      </c>
    </row>
    <row r="230" spans="1:6" x14ac:dyDescent="0.35">
      <c r="A230" s="1" t="s">
        <v>234</v>
      </c>
      <c r="C230">
        <v>1</v>
      </c>
      <c r="D230">
        <v>1</v>
      </c>
      <c r="E230">
        <v>1</v>
      </c>
      <c r="F230">
        <v>1</v>
      </c>
    </row>
    <row r="231" spans="1:6" x14ac:dyDescent="0.35">
      <c r="A231" s="1" t="s">
        <v>235</v>
      </c>
      <c r="C231">
        <v>1</v>
      </c>
    </row>
    <row r="232" spans="1:6" x14ac:dyDescent="0.35">
      <c r="A232" s="1" t="s">
        <v>238</v>
      </c>
      <c r="B232">
        <v>1</v>
      </c>
    </row>
    <row r="233" spans="1:6" x14ac:dyDescent="0.35">
      <c r="A233" s="1" t="s">
        <v>239</v>
      </c>
      <c r="B233">
        <v>1</v>
      </c>
      <c r="C233">
        <v>1</v>
      </c>
      <c r="F233">
        <v>1</v>
      </c>
    </row>
    <row r="234" spans="1:6" x14ac:dyDescent="0.35">
      <c r="A234" s="1" t="s">
        <v>240</v>
      </c>
      <c r="B234">
        <v>1</v>
      </c>
      <c r="C234">
        <v>1</v>
      </c>
      <c r="E234">
        <v>1</v>
      </c>
      <c r="F234">
        <v>1</v>
      </c>
    </row>
    <row r="235" spans="1:6" x14ac:dyDescent="0.35">
      <c r="A235" s="1" t="s">
        <v>241</v>
      </c>
      <c r="B235">
        <v>1</v>
      </c>
      <c r="F235">
        <v>1</v>
      </c>
    </row>
    <row r="236" spans="1:6" x14ac:dyDescent="0.35">
      <c r="A236" s="1" t="s">
        <v>242</v>
      </c>
      <c r="B236">
        <v>1</v>
      </c>
      <c r="E236">
        <v>1</v>
      </c>
      <c r="F236">
        <v>1</v>
      </c>
    </row>
    <row r="237" spans="1:6" x14ac:dyDescent="0.35">
      <c r="A237" s="1" t="s">
        <v>243</v>
      </c>
      <c r="C237">
        <v>1</v>
      </c>
      <c r="E237">
        <v>1</v>
      </c>
      <c r="F237">
        <v>1</v>
      </c>
    </row>
    <row r="238" spans="1:6" x14ac:dyDescent="0.35">
      <c r="A238" s="1" t="s">
        <v>244</v>
      </c>
      <c r="B238">
        <v>1</v>
      </c>
      <c r="D238">
        <v>1</v>
      </c>
      <c r="F238">
        <v>1</v>
      </c>
    </row>
    <row r="239" spans="1:6" x14ac:dyDescent="0.35">
      <c r="A239" s="1" t="s">
        <v>246</v>
      </c>
      <c r="C239">
        <v>1</v>
      </c>
      <c r="F239">
        <v>1</v>
      </c>
    </row>
    <row r="240" spans="1:6" x14ac:dyDescent="0.35">
      <c r="A240" s="1" t="s">
        <v>247</v>
      </c>
      <c r="B240">
        <v>1</v>
      </c>
      <c r="E240">
        <v>1</v>
      </c>
    </row>
    <row r="241" spans="1:6" x14ac:dyDescent="0.35">
      <c r="A241" s="1" t="s">
        <v>248</v>
      </c>
      <c r="B241">
        <v>1</v>
      </c>
      <c r="C241">
        <v>1</v>
      </c>
      <c r="D241">
        <v>1</v>
      </c>
      <c r="E241">
        <v>1</v>
      </c>
      <c r="F24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9CEE-4594-432A-8F80-19F988503C30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>
        <v>1</v>
      </c>
      <c r="D2">
        <v>1</v>
      </c>
    </row>
    <row r="3" spans="1:6" x14ac:dyDescent="0.35">
      <c r="A3" s="1" t="s">
        <v>2</v>
      </c>
      <c r="C3">
        <v>1</v>
      </c>
      <c r="D3">
        <v>1</v>
      </c>
    </row>
    <row r="4" spans="1:6" x14ac:dyDescent="0.35">
      <c r="A4" s="1" t="s">
        <v>3</v>
      </c>
      <c r="D4">
        <v>1</v>
      </c>
      <c r="F4">
        <v>1</v>
      </c>
    </row>
    <row r="5" spans="1:6" x14ac:dyDescent="0.35">
      <c r="A5" s="1" t="s">
        <v>5</v>
      </c>
      <c r="B5">
        <v>1</v>
      </c>
      <c r="C5">
        <v>1</v>
      </c>
    </row>
    <row r="6" spans="1:6" x14ac:dyDescent="0.35">
      <c r="A6" s="1" t="s">
        <v>6</v>
      </c>
      <c r="D6">
        <v>1</v>
      </c>
      <c r="F6">
        <v>1</v>
      </c>
    </row>
    <row r="7" spans="1:6" x14ac:dyDescent="0.35">
      <c r="A7" s="1" t="s">
        <v>7</v>
      </c>
      <c r="C7">
        <v>1</v>
      </c>
      <c r="D7">
        <v>1</v>
      </c>
      <c r="F7">
        <v>1</v>
      </c>
    </row>
    <row r="8" spans="1:6" x14ac:dyDescent="0.35">
      <c r="A8" s="1" t="s">
        <v>8</v>
      </c>
      <c r="B8">
        <v>1</v>
      </c>
      <c r="C8">
        <v>1</v>
      </c>
      <c r="D8">
        <v>1</v>
      </c>
    </row>
    <row r="9" spans="1:6" x14ac:dyDescent="0.35">
      <c r="A9" s="1" t="s">
        <v>9</v>
      </c>
      <c r="C9">
        <v>1</v>
      </c>
      <c r="D9">
        <v>1</v>
      </c>
      <c r="E9">
        <v>1</v>
      </c>
      <c r="F9">
        <v>1</v>
      </c>
    </row>
    <row r="10" spans="1:6" x14ac:dyDescent="0.35">
      <c r="A10" s="1" t="s">
        <v>10</v>
      </c>
      <c r="C10">
        <v>1</v>
      </c>
      <c r="D10">
        <v>1</v>
      </c>
    </row>
    <row r="11" spans="1:6" x14ac:dyDescent="0.35">
      <c r="A11" s="1" t="s">
        <v>11</v>
      </c>
      <c r="C11">
        <v>1</v>
      </c>
      <c r="D11">
        <v>1</v>
      </c>
      <c r="E11">
        <v>1</v>
      </c>
    </row>
    <row r="12" spans="1:6" x14ac:dyDescent="0.35">
      <c r="A12" s="1" t="s">
        <v>12</v>
      </c>
      <c r="C12">
        <v>1</v>
      </c>
      <c r="D12">
        <v>1</v>
      </c>
    </row>
    <row r="13" spans="1:6" x14ac:dyDescent="0.35">
      <c r="A13" s="1" t="s">
        <v>13</v>
      </c>
      <c r="D13">
        <v>1</v>
      </c>
      <c r="E13">
        <v>1</v>
      </c>
    </row>
    <row r="14" spans="1:6" x14ac:dyDescent="0.35">
      <c r="A14" s="1" t="s">
        <v>14</v>
      </c>
      <c r="C14">
        <v>1</v>
      </c>
      <c r="E14">
        <v>1</v>
      </c>
      <c r="F14">
        <v>1</v>
      </c>
    </row>
    <row r="15" spans="1:6" x14ac:dyDescent="0.35">
      <c r="A15" s="1" t="s">
        <v>15</v>
      </c>
      <c r="B15">
        <v>1</v>
      </c>
      <c r="D15">
        <v>1</v>
      </c>
      <c r="E15">
        <v>1</v>
      </c>
      <c r="F15">
        <v>1</v>
      </c>
    </row>
    <row r="16" spans="1:6" x14ac:dyDescent="0.35">
      <c r="A16" s="1" t="s">
        <v>16</v>
      </c>
      <c r="B16">
        <v>1</v>
      </c>
    </row>
    <row r="17" spans="1:6" x14ac:dyDescent="0.35">
      <c r="A17" s="1" t="s">
        <v>17</v>
      </c>
      <c r="B17">
        <v>1</v>
      </c>
      <c r="D17">
        <v>1</v>
      </c>
    </row>
    <row r="18" spans="1:6" x14ac:dyDescent="0.35">
      <c r="A18" s="1" t="s">
        <v>18</v>
      </c>
      <c r="B18">
        <v>1</v>
      </c>
    </row>
    <row r="19" spans="1:6" x14ac:dyDescent="0.35">
      <c r="A19" s="1" t="s">
        <v>19</v>
      </c>
      <c r="C19">
        <v>1</v>
      </c>
      <c r="F19">
        <v>1</v>
      </c>
    </row>
    <row r="20" spans="1:6" x14ac:dyDescent="0.35">
      <c r="A20" s="1" t="s">
        <v>20</v>
      </c>
      <c r="B20">
        <v>1</v>
      </c>
      <c r="E20">
        <v>1</v>
      </c>
      <c r="F20">
        <v>1</v>
      </c>
    </row>
    <row r="21" spans="1:6" x14ac:dyDescent="0.35">
      <c r="A21" s="1" t="s">
        <v>21</v>
      </c>
      <c r="B21">
        <v>1</v>
      </c>
      <c r="C21">
        <v>1</v>
      </c>
      <c r="D21">
        <v>1</v>
      </c>
      <c r="E21">
        <v>1</v>
      </c>
      <c r="F21">
        <v>1</v>
      </c>
    </row>
    <row r="22" spans="1:6" x14ac:dyDescent="0.35">
      <c r="A22" s="1" t="s">
        <v>22</v>
      </c>
      <c r="E22">
        <v>1</v>
      </c>
      <c r="F22">
        <v>1</v>
      </c>
    </row>
    <row r="23" spans="1:6" x14ac:dyDescent="0.35">
      <c r="A23" s="1" t="s">
        <v>23</v>
      </c>
      <c r="D23">
        <v>1</v>
      </c>
      <c r="E23">
        <v>1</v>
      </c>
      <c r="F23">
        <v>1</v>
      </c>
    </row>
    <row r="24" spans="1:6" x14ac:dyDescent="0.35">
      <c r="A24" s="1" t="s">
        <v>25</v>
      </c>
      <c r="B24">
        <v>1</v>
      </c>
      <c r="C24">
        <v>1</v>
      </c>
      <c r="E24">
        <v>1</v>
      </c>
    </row>
    <row r="25" spans="1:6" x14ac:dyDescent="0.35">
      <c r="A25" s="1" t="s">
        <v>26</v>
      </c>
      <c r="B25">
        <v>1</v>
      </c>
      <c r="C25">
        <v>1</v>
      </c>
      <c r="D25">
        <v>1</v>
      </c>
      <c r="E25">
        <v>1</v>
      </c>
      <c r="F25">
        <v>1</v>
      </c>
    </row>
    <row r="26" spans="1:6" x14ac:dyDescent="0.35">
      <c r="A26" s="1" t="s">
        <v>27</v>
      </c>
      <c r="C26">
        <v>1</v>
      </c>
      <c r="D26">
        <v>1</v>
      </c>
      <c r="E26">
        <v>1</v>
      </c>
    </row>
    <row r="27" spans="1:6" x14ac:dyDescent="0.35">
      <c r="A27" s="1" t="s">
        <v>28</v>
      </c>
      <c r="D27">
        <v>1</v>
      </c>
      <c r="F27">
        <v>1</v>
      </c>
    </row>
    <row r="28" spans="1:6" x14ac:dyDescent="0.35">
      <c r="A28" s="1" t="s">
        <v>29</v>
      </c>
      <c r="B28">
        <v>1</v>
      </c>
      <c r="C28">
        <v>1</v>
      </c>
      <c r="D28">
        <v>1</v>
      </c>
      <c r="E28">
        <v>1</v>
      </c>
      <c r="F28">
        <v>1</v>
      </c>
    </row>
    <row r="29" spans="1:6" x14ac:dyDescent="0.35">
      <c r="A29" s="1" t="s">
        <v>30</v>
      </c>
      <c r="B29">
        <v>1</v>
      </c>
      <c r="D29">
        <v>1</v>
      </c>
    </row>
    <row r="30" spans="1:6" x14ac:dyDescent="0.35">
      <c r="A30" s="1" t="s">
        <v>31</v>
      </c>
      <c r="D30">
        <v>1</v>
      </c>
      <c r="E30">
        <v>1</v>
      </c>
      <c r="F30">
        <v>1</v>
      </c>
    </row>
    <row r="31" spans="1:6" x14ac:dyDescent="0.35">
      <c r="A31" s="1" t="s">
        <v>32</v>
      </c>
      <c r="C31">
        <v>1</v>
      </c>
      <c r="D31">
        <v>1</v>
      </c>
      <c r="E31">
        <v>1</v>
      </c>
    </row>
    <row r="32" spans="1:6" x14ac:dyDescent="0.35">
      <c r="A32" s="1" t="s">
        <v>34</v>
      </c>
      <c r="B32">
        <v>1</v>
      </c>
    </row>
    <row r="33" spans="1:6" x14ac:dyDescent="0.35">
      <c r="A33" s="1" t="s">
        <v>35</v>
      </c>
      <c r="B33">
        <v>1</v>
      </c>
      <c r="C33">
        <v>1</v>
      </c>
      <c r="E33">
        <v>1</v>
      </c>
    </row>
    <row r="34" spans="1:6" x14ac:dyDescent="0.35">
      <c r="A34" s="1" t="s">
        <v>36</v>
      </c>
      <c r="C34">
        <v>1</v>
      </c>
      <c r="F34">
        <v>1</v>
      </c>
    </row>
    <row r="35" spans="1:6" x14ac:dyDescent="0.35">
      <c r="A35" s="1" t="s">
        <v>37</v>
      </c>
      <c r="C35">
        <v>1</v>
      </c>
      <c r="D35">
        <v>1</v>
      </c>
    </row>
    <row r="36" spans="1:6" x14ac:dyDescent="0.35">
      <c r="A36" s="1" t="s">
        <v>38</v>
      </c>
      <c r="C36">
        <v>1</v>
      </c>
      <c r="D36">
        <v>1</v>
      </c>
      <c r="E36">
        <v>1</v>
      </c>
      <c r="F36">
        <v>1</v>
      </c>
    </row>
    <row r="37" spans="1:6" x14ac:dyDescent="0.35">
      <c r="A37" s="1" t="s">
        <v>39</v>
      </c>
      <c r="D37">
        <v>1</v>
      </c>
      <c r="F37">
        <v>1</v>
      </c>
    </row>
    <row r="38" spans="1:6" x14ac:dyDescent="0.35">
      <c r="A38" s="1" t="s">
        <v>40</v>
      </c>
      <c r="C38">
        <v>1</v>
      </c>
      <c r="D38">
        <v>1</v>
      </c>
      <c r="F38">
        <v>1</v>
      </c>
    </row>
    <row r="39" spans="1:6" x14ac:dyDescent="0.35">
      <c r="A39" s="1" t="s">
        <v>41</v>
      </c>
      <c r="B39">
        <v>1</v>
      </c>
      <c r="E39">
        <v>1</v>
      </c>
      <c r="F39">
        <v>1</v>
      </c>
    </row>
    <row r="40" spans="1:6" x14ac:dyDescent="0.35">
      <c r="A40" s="1" t="s">
        <v>42</v>
      </c>
      <c r="B40">
        <v>1</v>
      </c>
      <c r="C40">
        <v>1</v>
      </c>
      <c r="D40">
        <v>1</v>
      </c>
      <c r="F40">
        <v>1</v>
      </c>
    </row>
    <row r="41" spans="1:6" x14ac:dyDescent="0.35">
      <c r="A41" s="1" t="s">
        <v>43</v>
      </c>
      <c r="B41">
        <v>1</v>
      </c>
      <c r="C41">
        <v>1</v>
      </c>
      <c r="E41">
        <v>1</v>
      </c>
    </row>
    <row r="42" spans="1:6" x14ac:dyDescent="0.35">
      <c r="A42" s="1" t="s">
        <v>44</v>
      </c>
      <c r="C42">
        <v>1</v>
      </c>
      <c r="E42">
        <v>1</v>
      </c>
    </row>
    <row r="43" spans="1:6" x14ac:dyDescent="0.35">
      <c r="A43" s="1" t="s">
        <v>45</v>
      </c>
      <c r="C43">
        <v>1</v>
      </c>
      <c r="D43">
        <v>1</v>
      </c>
      <c r="F43">
        <v>1</v>
      </c>
    </row>
    <row r="44" spans="1:6" x14ac:dyDescent="0.35">
      <c r="A44" s="1" t="s">
        <v>46</v>
      </c>
      <c r="F44">
        <v>1</v>
      </c>
    </row>
    <row r="45" spans="1:6" x14ac:dyDescent="0.35">
      <c r="A45" s="1" t="s">
        <v>47</v>
      </c>
      <c r="C45">
        <v>1</v>
      </c>
    </row>
    <row r="46" spans="1:6" x14ac:dyDescent="0.35">
      <c r="A46" s="1" t="s">
        <v>48</v>
      </c>
      <c r="B46">
        <v>1</v>
      </c>
      <c r="D46">
        <v>1</v>
      </c>
      <c r="F46">
        <v>1</v>
      </c>
    </row>
    <row r="47" spans="1:6" x14ac:dyDescent="0.35">
      <c r="A47" s="1" t="s">
        <v>49</v>
      </c>
      <c r="B47">
        <v>1</v>
      </c>
      <c r="D47">
        <v>1</v>
      </c>
      <c r="E47">
        <v>1</v>
      </c>
    </row>
    <row r="48" spans="1:6" x14ac:dyDescent="0.35">
      <c r="A48" s="1" t="s">
        <v>50</v>
      </c>
      <c r="B48">
        <v>1</v>
      </c>
      <c r="D48">
        <v>1</v>
      </c>
      <c r="E48">
        <v>1</v>
      </c>
    </row>
    <row r="49" spans="1:6" x14ac:dyDescent="0.35">
      <c r="A49" s="1" t="s">
        <v>51</v>
      </c>
      <c r="B49">
        <v>1</v>
      </c>
      <c r="C49">
        <v>1</v>
      </c>
      <c r="D49">
        <v>1</v>
      </c>
      <c r="F49">
        <v>1</v>
      </c>
    </row>
    <row r="50" spans="1:6" x14ac:dyDescent="0.35">
      <c r="A50" s="1" t="s">
        <v>52</v>
      </c>
      <c r="B50">
        <v>1</v>
      </c>
      <c r="C50">
        <v>1</v>
      </c>
    </row>
    <row r="51" spans="1:6" x14ac:dyDescent="0.35">
      <c r="A51" s="1" t="s">
        <v>53</v>
      </c>
      <c r="D51">
        <v>1</v>
      </c>
      <c r="E51">
        <v>1</v>
      </c>
    </row>
    <row r="52" spans="1:6" x14ac:dyDescent="0.35">
      <c r="A52" s="1" t="s">
        <v>54</v>
      </c>
      <c r="B52">
        <v>1</v>
      </c>
      <c r="C52">
        <v>1</v>
      </c>
      <c r="D52">
        <v>1</v>
      </c>
    </row>
    <row r="53" spans="1:6" x14ac:dyDescent="0.35">
      <c r="A53" s="1" t="s">
        <v>55</v>
      </c>
      <c r="C53">
        <v>1</v>
      </c>
      <c r="F53">
        <v>1</v>
      </c>
    </row>
    <row r="54" spans="1:6" x14ac:dyDescent="0.35">
      <c r="A54" s="1" t="s">
        <v>56</v>
      </c>
      <c r="B54">
        <v>1</v>
      </c>
      <c r="C54">
        <v>1</v>
      </c>
      <c r="E54">
        <v>1</v>
      </c>
    </row>
    <row r="55" spans="1:6" x14ac:dyDescent="0.35">
      <c r="A55" s="1" t="s">
        <v>57</v>
      </c>
      <c r="C55">
        <v>1</v>
      </c>
      <c r="D55">
        <v>1</v>
      </c>
    </row>
    <row r="56" spans="1:6" x14ac:dyDescent="0.35">
      <c r="A56" s="1" t="s">
        <v>58</v>
      </c>
      <c r="B56">
        <v>1</v>
      </c>
      <c r="E56">
        <v>1</v>
      </c>
    </row>
    <row r="57" spans="1:6" x14ac:dyDescent="0.35">
      <c r="A57" s="1" t="s">
        <v>59</v>
      </c>
      <c r="E57">
        <v>1</v>
      </c>
      <c r="F57">
        <v>1</v>
      </c>
    </row>
    <row r="58" spans="1:6" x14ac:dyDescent="0.35">
      <c r="A58" s="1" t="s">
        <v>60</v>
      </c>
      <c r="B58">
        <v>1</v>
      </c>
      <c r="C58">
        <v>1</v>
      </c>
      <c r="F58">
        <v>1</v>
      </c>
    </row>
    <row r="59" spans="1:6" x14ac:dyDescent="0.35">
      <c r="A59" s="1" t="s">
        <v>61</v>
      </c>
      <c r="B59">
        <v>1</v>
      </c>
      <c r="D59">
        <v>1</v>
      </c>
      <c r="E59">
        <v>1</v>
      </c>
    </row>
    <row r="60" spans="1:6" x14ac:dyDescent="0.35">
      <c r="A60" s="1" t="s">
        <v>62</v>
      </c>
      <c r="D60">
        <v>1</v>
      </c>
      <c r="E60">
        <v>1</v>
      </c>
      <c r="F60">
        <v>1</v>
      </c>
    </row>
    <row r="61" spans="1:6" x14ac:dyDescent="0.35">
      <c r="A61" s="1" t="s">
        <v>63</v>
      </c>
      <c r="C61">
        <v>1</v>
      </c>
      <c r="D61">
        <v>1</v>
      </c>
      <c r="E61">
        <v>1</v>
      </c>
    </row>
    <row r="62" spans="1:6" x14ac:dyDescent="0.35">
      <c r="A62" s="1" t="s">
        <v>64</v>
      </c>
      <c r="F62">
        <v>1</v>
      </c>
    </row>
    <row r="63" spans="1:6" x14ac:dyDescent="0.35">
      <c r="A63" s="1" t="s">
        <v>65</v>
      </c>
      <c r="B63">
        <v>1</v>
      </c>
      <c r="E63">
        <v>1</v>
      </c>
    </row>
    <row r="64" spans="1:6" x14ac:dyDescent="0.35">
      <c r="A64" s="1" t="s">
        <v>66</v>
      </c>
      <c r="B64">
        <v>1</v>
      </c>
      <c r="C64">
        <v>1</v>
      </c>
      <c r="F64">
        <v>1</v>
      </c>
    </row>
    <row r="65" spans="1:6" x14ac:dyDescent="0.35">
      <c r="A65" s="1" t="s">
        <v>67</v>
      </c>
      <c r="E65">
        <v>1</v>
      </c>
    </row>
    <row r="66" spans="1:6" x14ac:dyDescent="0.35">
      <c r="A66" s="1" t="s">
        <v>68</v>
      </c>
      <c r="B66">
        <v>1</v>
      </c>
      <c r="D66">
        <v>1</v>
      </c>
    </row>
    <row r="67" spans="1:6" x14ac:dyDescent="0.35">
      <c r="A67" s="1" t="s">
        <v>69</v>
      </c>
      <c r="B67">
        <v>1</v>
      </c>
      <c r="C67">
        <v>1</v>
      </c>
    </row>
    <row r="68" spans="1:6" x14ac:dyDescent="0.35">
      <c r="A68" s="1" t="s">
        <v>70</v>
      </c>
      <c r="B68">
        <v>1</v>
      </c>
      <c r="E68">
        <v>1</v>
      </c>
    </row>
    <row r="69" spans="1:6" x14ac:dyDescent="0.35">
      <c r="A69" s="1" t="s">
        <v>71</v>
      </c>
      <c r="D69">
        <v>1</v>
      </c>
      <c r="E69">
        <v>1</v>
      </c>
      <c r="F69">
        <v>1</v>
      </c>
    </row>
    <row r="70" spans="1:6" x14ac:dyDescent="0.35">
      <c r="A70" s="1" t="s">
        <v>72</v>
      </c>
      <c r="B70">
        <v>1</v>
      </c>
      <c r="C70">
        <v>1</v>
      </c>
      <c r="F70">
        <v>1</v>
      </c>
    </row>
    <row r="71" spans="1:6" x14ac:dyDescent="0.35">
      <c r="A71" s="1" t="s">
        <v>73</v>
      </c>
      <c r="C71">
        <v>1</v>
      </c>
      <c r="E71">
        <v>1</v>
      </c>
    </row>
    <row r="72" spans="1:6" x14ac:dyDescent="0.35">
      <c r="A72" s="1" t="s">
        <v>74</v>
      </c>
      <c r="D72">
        <v>1</v>
      </c>
      <c r="E72">
        <v>1</v>
      </c>
      <c r="F72">
        <v>1</v>
      </c>
    </row>
    <row r="73" spans="1:6" x14ac:dyDescent="0.35">
      <c r="A73" s="1" t="s">
        <v>75</v>
      </c>
      <c r="B73">
        <v>1</v>
      </c>
      <c r="C73">
        <v>1</v>
      </c>
    </row>
    <row r="74" spans="1:6" x14ac:dyDescent="0.35">
      <c r="A74" s="1" t="s">
        <v>76</v>
      </c>
      <c r="B74">
        <v>1</v>
      </c>
    </row>
    <row r="75" spans="1:6" x14ac:dyDescent="0.35">
      <c r="A75" s="1" t="s">
        <v>77</v>
      </c>
      <c r="B75">
        <v>1</v>
      </c>
    </row>
    <row r="76" spans="1:6" x14ac:dyDescent="0.35">
      <c r="A76" s="1" t="s">
        <v>78</v>
      </c>
      <c r="B76">
        <v>1</v>
      </c>
      <c r="D76">
        <v>1</v>
      </c>
      <c r="F76">
        <v>1</v>
      </c>
    </row>
    <row r="77" spans="1:6" x14ac:dyDescent="0.35">
      <c r="A77" s="1" t="s">
        <v>79</v>
      </c>
      <c r="D77">
        <v>1</v>
      </c>
      <c r="F77">
        <v>1</v>
      </c>
    </row>
    <row r="78" spans="1:6" x14ac:dyDescent="0.35">
      <c r="A78" s="1" t="s">
        <v>80</v>
      </c>
      <c r="E78">
        <v>1</v>
      </c>
    </row>
    <row r="79" spans="1:6" x14ac:dyDescent="0.35">
      <c r="A79" s="1" t="s">
        <v>81</v>
      </c>
      <c r="C79">
        <v>1</v>
      </c>
      <c r="D79">
        <v>1</v>
      </c>
      <c r="E79">
        <v>1</v>
      </c>
      <c r="F79">
        <v>1</v>
      </c>
    </row>
    <row r="80" spans="1:6" x14ac:dyDescent="0.35">
      <c r="A80" s="1" t="s">
        <v>82</v>
      </c>
      <c r="B80">
        <v>1</v>
      </c>
      <c r="C80">
        <v>1</v>
      </c>
      <c r="D80">
        <v>1</v>
      </c>
    </row>
    <row r="81" spans="1:6" x14ac:dyDescent="0.35">
      <c r="A81" s="1" t="s">
        <v>83</v>
      </c>
      <c r="C81">
        <v>1</v>
      </c>
      <c r="E81">
        <v>1</v>
      </c>
      <c r="F81">
        <v>1</v>
      </c>
    </row>
    <row r="82" spans="1:6" x14ac:dyDescent="0.35">
      <c r="A82" s="1" t="s">
        <v>84</v>
      </c>
      <c r="C82">
        <v>1</v>
      </c>
      <c r="F82">
        <v>1</v>
      </c>
    </row>
    <row r="83" spans="1:6" x14ac:dyDescent="0.35">
      <c r="A83" s="1" t="s">
        <v>85</v>
      </c>
      <c r="B83">
        <v>1</v>
      </c>
      <c r="C83">
        <v>1</v>
      </c>
      <c r="F83">
        <v>1</v>
      </c>
    </row>
    <row r="84" spans="1:6" x14ac:dyDescent="0.35">
      <c r="A84" s="1" t="s">
        <v>86</v>
      </c>
      <c r="D84">
        <v>1</v>
      </c>
      <c r="F84">
        <v>1</v>
      </c>
    </row>
    <row r="85" spans="1:6" x14ac:dyDescent="0.35">
      <c r="A85" s="1" t="s">
        <v>87</v>
      </c>
      <c r="B85">
        <v>1</v>
      </c>
      <c r="C85">
        <v>1</v>
      </c>
      <c r="D85">
        <v>1</v>
      </c>
      <c r="E85">
        <v>1</v>
      </c>
    </row>
    <row r="86" spans="1:6" x14ac:dyDescent="0.35">
      <c r="A86" s="1" t="s">
        <v>88</v>
      </c>
      <c r="B86">
        <v>1</v>
      </c>
      <c r="C86">
        <v>1</v>
      </c>
      <c r="D86">
        <v>1</v>
      </c>
    </row>
    <row r="87" spans="1:6" x14ac:dyDescent="0.35">
      <c r="A87" s="1" t="s">
        <v>89</v>
      </c>
      <c r="B87">
        <v>1</v>
      </c>
      <c r="E87">
        <v>1</v>
      </c>
    </row>
    <row r="88" spans="1:6" x14ac:dyDescent="0.35">
      <c r="A88" s="1" t="s">
        <v>91</v>
      </c>
      <c r="D88">
        <v>1</v>
      </c>
      <c r="E88">
        <v>1</v>
      </c>
      <c r="F88">
        <v>1</v>
      </c>
    </row>
    <row r="89" spans="1:6" x14ac:dyDescent="0.35">
      <c r="A89" s="1" t="s">
        <v>92</v>
      </c>
      <c r="B89">
        <v>1</v>
      </c>
      <c r="C89">
        <v>1</v>
      </c>
      <c r="D89">
        <v>1</v>
      </c>
    </row>
    <row r="90" spans="1:6" x14ac:dyDescent="0.35">
      <c r="A90" s="1" t="s">
        <v>93</v>
      </c>
      <c r="B90">
        <v>1</v>
      </c>
      <c r="C90">
        <v>1</v>
      </c>
    </row>
    <row r="91" spans="1:6" x14ac:dyDescent="0.35">
      <c r="A91" s="1" t="s">
        <v>94</v>
      </c>
      <c r="D91">
        <v>1</v>
      </c>
      <c r="F91">
        <v>1</v>
      </c>
    </row>
    <row r="92" spans="1:6" x14ac:dyDescent="0.35">
      <c r="A92" s="1" t="s">
        <v>95</v>
      </c>
      <c r="B92">
        <v>1</v>
      </c>
      <c r="D92">
        <v>1</v>
      </c>
      <c r="E92">
        <v>1</v>
      </c>
      <c r="F92">
        <v>1</v>
      </c>
    </row>
    <row r="93" spans="1:6" x14ac:dyDescent="0.35">
      <c r="A93" s="1" t="s">
        <v>96</v>
      </c>
      <c r="B93">
        <v>1</v>
      </c>
      <c r="C93">
        <v>1</v>
      </c>
      <c r="E93">
        <v>1</v>
      </c>
      <c r="F93">
        <v>1</v>
      </c>
    </row>
    <row r="94" spans="1:6" x14ac:dyDescent="0.35">
      <c r="A94" s="1" t="s">
        <v>97</v>
      </c>
      <c r="B94">
        <v>1</v>
      </c>
      <c r="C94">
        <v>1</v>
      </c>
      <c r="E94">
        <v>1</v>
      </c>
    </row>
    <row r="95" spans="1:6" x14ac:dyDescent="0.35">
      <c r="A95" s="1" t="s">
        <v>98</v>
      </c>
      <c r="B95">
        <v>1</v>
      </c>
      <c r="D95">
        <v>1</v>
      </c>
      <c r="E95">
        <v>1</v>
      </c>
    </row>
    <row r="96" spans="1:6" x14ac:dyDescent="0.35">
      <c r="A96" s="1" t="s">
        <v>99</v>
      </c>
      <c r="D96">
        <v>1</v>
      </c>
      <c r="F96">
        <v>1</v>
      </c>
    </row>
    <row r="97" spans="1:6" x14ac:dyDescent="0.35">
      <c r="A97" s="1" t="s">
        <v>100</v>
      </c>
      <c r="B97">
        <v>1</v>
      </c>
      <c r="E97">
        <v>1</v>
      </c>
      <c r="F97">
        <v>1</v>
      </c>
    </row>
    <row r="98" spans="1:6" x14ac:dyDescent="0.35">
      <c r="A98" s="1" t="s">
        <v>101</v>
      </c>
      <c r="B98">
        <v>1</v>
      </c>
      <c r="C98">
        <v>1</v>
      </c>
      <c r="D98">
        <v>1</v>
      </c>
      <c r="F98">
        <v>1</v>
      </c>
    </row>
    <row r="99" spans="1:6" x14ac:dyDescent="0.35">
      <c r="A99" s="1" t="s">
        <v>102</v>
      </c>
      <c r="C99">
        <v>1</v>
      </c>
      <c r="D99">
        <v>1</v>
      </c>
      <c r="F99">
        <v>1</v>
      </c>
    </row>
    <row r="100" spans="1:6" x14ac:dyDescent="0.35">
      <c r="A100" s="1" t="s">
        <v>103</v>
      </c>
      <c r="C100">
        <v>1</v>
      </c>
      <c r="D100">
        <v>1</v>
      </c>
      <c r="E100">
        <v>1</v>
      </c>
    </row>
    <row r="101" spans="1:6" x14ac:dyDescent="0.35">
      <c r="A101" s="1" t="s">
        <v>104</v>
      </c>
      <c r="B101">
        <v>1</v>
      </c>
      <c r="D101">
        <v>1</v>
      </c>
    </row>
    <row r="102" spans="1:6" x14ac:dyDescent="0.35">
      <c r="A102" s="1" t="s">
        <v>105</v>
      </c>
      <c r="B102">
        <v>1</v>
      </c>
      <c r="C102">
        <v>1</v>
      </c>
      <c r="E102">
        <v>1</v>
      </c>
    </row>
    <row r="103" spans="1:6" x14ac:dyDescent="0.35">
      <c r="A103" s="1" t="s">
        <v>106</v>
      </c>
      <c r="B103">
        <v>1</v>
      </c>
      <c r="C103">
        <v>1</v>
      </c>
      <c r="F103">
        <v>1</v>
      </c>
    </row>
    <row r="104" spans="1:6" x14ac:dyDescent="0.35">
      <c r="A104" s="1" t="s">
        <v>107</v>
      </c>
      <c r="B104">
        <v>1</v>
      </c>
      <c r="C104">
        <v>1</v>
      </c>
      <c r="E104">
        <v>1</v>
      </c>
      <c r="F104">
        <v>1</v>
      </c>
    </row>
    <row r="105" spans="1:6" x14ac:dyDescent="0.35">
      <c r="A105" s="1" t="s">
        <v>108</v>
      </c>
      <c r="F105">
        <v>1</v>
      </c>
    </row>
    <row r="106" spans="1:6" x14ac:dyDescent="0.35">
      <c r="A106" s="1" t="s">
        <v>109</v>
      </c>
      <c r="B106">
        <v>1</v>
      </c>
      <c r="C106">
        <v>1</v>
      </c>
      <c r="D106">
        <v>1</v>
      </c>
      <c r="E106">
        <v>1</v>
      </c>
      <c r="F106">
        <v>1</v>
      </c>
    </row>
    <row r="107" spans="1:6" x14ac:dyDescent="0.35">
      <c r="A107" s="1" t="s">
        <v>110</v>
      </c>
      <c r="B107">
        <v>1</v>
      </c>
      <c r="E107">
        <v>1</v>
      </c>
    </row>
    <row r="108" spans="1:6" x14ac:dyDescent="0.35">
      <c r="A108" s="1" t="s">
        <v>111</v>
      </c>
      <c r="C108">
        <v>1</v>
      </c>
      <c r="D108">
        <v>1</v>
      </c>
    </row>
    <row r="109" spans="1:6" x14ac:dyDescent="0.35">
      <c r="A109" s="1" t="s">
        <v>112</v>
      </c>
      <c r="B109">
        <v>1</v>
      </c>
      <c r="C109">
        <v>1</v>
      </c>
      <c r="D109">
        <v>1</v>
      </c>
      <c r="E109">
        <v>1</v>
      </c>
    </row>
    <row r="110" spans="1:6" x14ac:dyDescent="0.35">
      <c r="A110" s="1" t="s">
        <v>113</v>
      </c>
      <c r="D110">
        <v>1</v>
      </c>
      <c r="E110">
        <v>1</v>
      </c>
      <c r="F110">
        <v>1</v>
      </c>
    </row>
    <row r="111" spans="1:6" x14ac:dyDescent="0.35">
      <c r="A111" s="1" t="s">
        <v>114</v>
      </c>
      <c r="C111">
        <v>1</v>
      </c>
      <c r="D111">
        <v>1</v>
      </c>
      <c r="F111">
        <v>1</v>
      </c>
    </row>
    <row r="112" spans="1:6" x14ac:dyDescent="0.35">
      <c r="A112" s="1" t="s">
        <v>115</v>
      </c>
      <c r="B112">
        <v>1</v>
      </c>
      <c r="F112">
        <v>1</v>
      </c>
    </row>
    <row r="113" spans="1:6" x14ac:dyDescent="0.35">
      <c r="A113" s="1" t="s">
        <v>116</v>
      </c>
      <c r="D113">
        <v>1</v>
      </c>
    </row>
    <row r="114" spans="1:6" x14ac:dyDescent="0.35">
      <c r="A114" s="1" t="s">
        <v>117</v>
      </c>
      <c r="B114">
        <v>1</v>
      </c>
      <c r="C114">
        <v>1</v>
      </c>
      <c r="E114">
        <v>1</v>
      </c>
      <c r="F114">
        <v>1</v>
      </c>
    </row>
    <row r="115" spans="1:6" x14ac:dyDescent="0.35">
      <c r="A115" s="1" t="s">
        <v>118</v>
      </c>
      <c r="B115">
        <v>1</v>
      </c>
    </row>
    <row r="116" spans="1:6" x14ac:dyDescent="0.35">
      <c r="A116" s="1" t="s">
        <v>119</v>
      </c>
      <c r="D116">
        <v>1</v>
      </c>
      <c r="E116">
        <v>1</v>
      </c>
    </row>
    <row r="117" spans="1:6" x14ac:dyDescent="0.35">
      <c r="A117" s="1" t="s">
        <v>120</v>
      </c>
      <c r="C117">
        <v>1</v>
      </c>
      <c r="D117">
        <v>1</v>
      </c>
      <c r="E117">
        <v>1</v>
      </c>
    </row>
    <row r="118" spans="1:6" x14ac:dyDescent="0.35">
      <c r="A118" s="1" t="s">
        <v>121</v>
      </c>
      <c r="C118">
        <v>1</v>
      </c>
      <c r="D118">
        <v>1</v>
      </c>
      <c r="F118">
        <v>1</v>
      </c>
    </row>
    <row r="119" spans="1:6" x14ac:dyDescent="0.35">
      <c r="A119" s="1" t="s">
        <v>122</v>
      </c>
      <c r="B119">
        <v>1</v>
      </c>
      <c r="C119">
        <v>1</v>
      </c>
      <c r="E119">
        <v>1</v>
      </c>
      <c r="F119">
        <v>1</v>
      </c>
    </row>
    <row r="120" spans="1:6" x14ac:dyDescent="0.35">
      <c r="A120" s="1" t="s">
        <v>123</v>
      </c>
      <c r="B120">
        <v>1</v>
      </c>
      <c r="D120">
        <v>1</v>
      </c>
    </row>
    <row r="121" spans="1:6" x14ac:dyDescent="0.35">
      <c r="A121" s="1" t="s">
        <v>124</v>
      </c>
      <c r="B121">
        <v>1</v>
      </c>
      <c r="C121">
        <v>1</v>
      </c>
      <c r="D121">
        <v>1</v>
      </c>
      <c r="E121">
        <v>1</v>
      </c>
      <c r="F121">
        <v>1</v>
      </c>
    </row>
    <row r="122" spans="1:6" x14ac:dyDescent="0.35">
      <c r="A122" s="1" t="s">
        <v>125</v>
      </c>
      <c r="B122">
        <v>1</v>
      </c>
      <c r="C122">
        <v>1</v>
      </c>
    </row>
    <row r="123" spans="1:6" x14ac:dyDescent="0.35">
      <c r="A123" s="1" t="s">
        <v>126</v>
      </c>
      <c r="D123">
        <v>1</v>
      </c>
    </row>
    <row r="124" spans="1:6" x14ac:dyDescent="0.35">
      <c r="A124" s="1" t="s">
        <v>127</v>
      </c>
      <c r="C124">
        <v>1</v>
      </c>
      <c r="D124">
        <v>1</v>
      </c>
      <c r="E124">
        <v>1</v>
      </c>
      <c r="F124">
        <v>1</v>
      </c>
    </row>
    <row r="125" spans="1:6" x14ac:dyDescent="0.35">
      <c r="A125" s="1" t="s">
        <v>128</v>
      </c>
      <c r="C125">
        <v>1</v>
      </c>
      <c r="D125">
        <v>1</v>
      </c>
      <c r="E125">
        <v>1</v>
      </c>
      <c r="F125">
        <v>1</v>
      </c>
    </row>
    <row r="126" spans="1:6" x14ac:dyDescent="0.35">
      <c r="A126" s="1" t="s">
        <v>129</v>
      </c>
      <c r="D126">
        <v>1</v>
      </c>
      <c r="E126">
        <v>1</v>
      </c>
    </row>
    <row r="127" spans="1:6" x14ac:dyDescent="0.35">
      <c r="A127" s="1" t="s">
        <v>130</v>
      </c>
      <c r="B127">
        <v>1</v>
      </c>
      <c r="E127">
        <v>1</v>
      </c>
    </row>
    <row r="128" spans="1:6" x14ac:dyDescent="0.35">
      <c r="A128" s="1" t="s">
        <v>131</v>
      </c>
      <c r="E128">
        <v>1</v>
      </c>
      <c r="F128">
        <v>1</v>
      </c>
    </row>
    <row r="129" spans="1:6" x14ac:dyDescent="0.35">
      <c r="A129" s="1" t="s">
        <v>132</v>
      </c>
      <c r="E129">
        <v>1</v>
      </c>
    </row>
    <row r="130" spans="1:6" x14ac:dyDescent="0.35">
      <c r="A130" s="1" t="s">
        <v>133</v>
      </c>
      <c r="D130">
        <v>1</v>
      </c>
      <c r="F130">
        <v>1</v>
      </c>
    </row>
    <row r="131" spans="1:6" x14ac:dyDescent="0.35">
      <c r="A131" s="1" t="s">
        <v>134</v>
      </c>
      <c r="D131">
        <v>1</v>
      </c>
    </row>
    <row r="132" spans="1:6" x14ac:dyDescent="0.35">
      <c r="A132" s="1" t="s">
        <v>135</v>
      </c>
      <c r="B132">
        <v>1</v>
      </c>
      <c r="C132">
        <v>1</v>
      </c>
    </row>
    <row r="133" spans="1:6" x14ac:dyDescent="0.35">
      <c r="A133" s="1" t="s">
        <v>136</v>
      </c>
      <c r="D133">
        <v>1</v>
      </c>
      <c r="E133">
        <v>1</v>
      </c>
    </row>
    <row r="134" spans="1:6" x14ac:dyDescent="0.35">
      <c r="A134" s="1" t="s">
        <v>137</v>
      </c>
      <c r="B134">
        <v>1</v>
      </c>
      <c r="F134">
        <v>1</v>
      </c>
    </row>
    <row r="135" spans="1:6" x14ac:dyDescent="0.35">
      <c r="A135" s="1" t="s">
        <v>138</v>
      </c>
      <c r="B135">
        <v>1</v>
      </c>
      <c r="C135">
        <v>1</v>
      </c>
      <c r="D135">
        <v>1</v>
      </c>
      <c r="E135">
        <v>1</v>
      </c>
    </row>
    <row r="136" spans="1:6" x14ac:dyDescent="0.35">
      <c r="A136" s="1" t="s">
        <v>139</v>
      </c>
      <c r="B136">
        <v>1</v>
      </c>
      <c r="C136">
        <v>1</v>
      </c>
      <c r="D136">
        <v>1</v>
      </c>
      <c r="E136">
        <v>1</v>
      </c>
    </row>
    <row r="137" spans="1:6" x14ac:dyDescent="0.35">
      <c r="A137" s="1" t="s">
        <v>140</v>
      </c>
      <c r="B137">
        <v>1</v>
      </c>
      <c r="E137">
        <v>1</v>
      </c>
      <c r="F137">
        <v>1</v>
      </c>
    </row>
    <row r="138" spans="1:6" x14ac:dyDescent="0.35">
      <c r="A138" s="1" t="s">
        <v>141</v>
      </c>
      <c r="D138">
        <v>1</v>
      </c>
      <c r="E138">
        <v>1</v>
      </c>
    </row>
    <row r="139" spans="1:6" x14ac:dyDescent="0.35">
      <c r="A139" s="1" t="s">
        <v>142</v>
      </c>
      <c r="D139">
        <v>1</v>
      </c>
      <c r="E139">
        <v>1</v>
      </c>
      <c r="F139">
        <v>1</v>
      </c>
    </row>
    <row r="140" spans="1:6" x14ac:dyDescent="0.35">
      <c r="A140" s="1" t="s">
        <v>143</v>
      </c>
      <c r="C140">
        <v>1</v>
      </c>
      <c r="E140">
        <v>1</v>
      </c>
    </row>
    <row r="141" spans="1:6" x14ac:dyDescent="0.35">
      <c r="A141" s="1" t="s">
        <v>144</v>
      </c>
      <c r="C141">
        <v>1</v>
      </c>
      <c r="D141">
        <v>1</v>
      </c>
      <c r="E141">
        <v>1</v>
      </c>
    </row>
    <row r="142" spans="1:6" x14ac:dyDescent="0.35">
      <c r="A142" s="1" t="s">
        <v>145</v>
      </c>
      <c r="B142">
        <v>1</v>
      </c>
      <c r="D142">
        <v>1</v>
      </c>
      <c r="F142">
        <v>1</v>
      </c>
    </row>
    <row r="143" spans="1:6" x14ac:dyDescent="0.35">
      <c r="A143" s="1" t="s">
        <v>146</v>
      </c>
      <c r="B143">
        <v>1</v>
      </c>
      <c r="C143">
        <v>1</v>
      </c>
      <c r="D143">
        <v>1</v>
      </c>
    </row>
    <row r="144" spans="1:6" x14ac:dyDescent="0.35">
      <c r="A144" s="1" t="s">
        <v>147</v>
      </c>
      <c r="B144">
        <v>1</v>
      </c>
      <c r="D144">
        <v>1</v>
      </c>
    </row>
    <row r="145" spans="1:6" x14ac:dyDescent="0.35">
      <c r="A145" s="1" t="s">
        <v>148</v>
      </c>
      <c r="B145">
        <v>1</v>
      </c>
      <c r="C145">
        <v>1</v>
      </c>
      <c r="F145">
        <v>1</v>
      </c>
    </row>
    <row r="146" spans="1:6" x14ac:dyDescent="0.35">
      <c r="A146" s="1" t="s">
        <v>149</v>
      </c>
      <c r="B146">
        <v>1</v>
      </c>
      <c r="D146">
        <v>1</v>
      </c>
    </row>
    <row r="147" spans="1:6" x14ac:dyDescent="0.35">
      <c r="A147" s="1" t="s">
        <v>150</v>
      </c>
      <c r="C147">
        <v>1</v>
      </c>
      <c r="D147">
        <v>1</v>
      </c>
      <c r="E147">
        <v>1</v>
      </c>
      <c r="F147">
        <v>1</v>
      </c>
    </row>
    <row r="148" spans="1:6" x14ac:dyDescent="0.35">
      <c r="A148" s="1" t="s">
        <v>151</v>
      </c>
      <c r="B148">
        <v>1</v>
      </c>
      <c r="D148">
        <v>1</v>
      </c>
      <c r="E148">
        <v>1</v>
      </c>
    </row>
    <row r="149" spans="1:6" x14ac:dyDescent="0.35">
      <c r="A149" s="1" t="s">
        <v>152</v>
      </c>
      <c r="B149">
        <v>1</v>
      </c>
      <c r="D149">
        <v>1</v>
      </c>
      <c r="E149">
        <v>1</v>
      </c>
      <c r="F149">
        <v>1</v>
      </c>
    </row>
    <row r="150" spans="1:6" x14ac:dyDescent="0.35">
      <c r="A150" s="1" t="s">
        <v>153</v>
      </c>
      <c r="C150">
        <v>1</v>
      </c>
      <c r="E150">
        <v>1</v>
      </c>
    </row>
    <row r="151" spans="1:6" x14ac:dyDescent="0.35">
      <c r="A151" s="1" t="s">
        <v>154</v>
      </c>
      <c r="D151">
        <v>1</v>
      </c>
      <c r="F151">
        <v>1</v>
      </c>
    </row>
    <row r="152" spans="1:6" x14ac:dyDescent="0.35">
      <c r="A152" s="1" t="s">
        <v>155</v>
      </c>
      <c r="B152">
        <v>1</v>
      </c>
      <c r="C152">
        <v>1</v>
      </c>
      <c r="D152">
        <v>1</v>
      </c>
      <c r="E152">
        <v>1</v>
      </c>
      <c r="F152">
        <v>1</v>
      </c>
    </row>
    <row r="153" spans="1:6" x14ac:dyDescent="0.35">
      <c r="A153" s="1" t="s">
        <v>156</v>
      </c>
      <c r="C153">
        <v>1</v>
      </c>
    </row>
    <row r="154" spans="1:6" x14ac:dyDescent="0.35">
      <c r="A154" s="1" t="s">
        <v>157</v>
      </c>
      <c r="B154">
        <v>1</v>
      </c>
      <c r="C154">
        <v>1</v>
      </c>
      <c r="D154">
        <v>1</v>
      </c>
      <c r="E154">
        <v>1</v>
      </c>
      <c r="F154">
        <v>1</v>
      </c>
    </row>
    <row r="155" spans="1:6" x14ac:dyDescent="0.35">
      <c r="A155" s="1" t="s">
        <v>158</v>
      </c>
      <c r="B155">
        <v>1</v>
      </c>
      <c r="D155">
        <v>1</v>
      </c>
      <c r="F155">
        <v>1</v>
      </c>
    </row>
    <row r="156" spans="1:6" x14ac:dyDescent="0.35">
      <c r="A156" s="1" t="s">
        <v>159</v>
      </c>
      <c r="B156">
        <v>1</v>
      </c>
      <c r="E156">
        <v>1</v>
      </c>
    </row>
    <row r="157" spans="1:6" x14ac:dyDescent="0.35">
      <c r="A157" s="1" t="s">
        <v>160</v>
      </c>
      <c r="B157">
        <v>1</v>
      </c>
      <c r="E157">
        <v>1</v>
      </c>
      <c r="F157">
        <v>1</v>
      </c>
    </row>
    <row r="158" spans="1:6" x14ac:dyDescent="0.35">
      <c r="A158" s="1" t="s">
        <v>161</v>
      </c>
      <c r="C158">
        <v>1</v>
      </c>
      <c r="F158">
        <v>1</v>
      </c>
    </row>
    <row r="159" spans="1:6" x14ac:dyDescent="0.35">
      <c r="A159" s="1" t="s">
        <v>162</v>
      </c>
      <c r="C159">
        <v>1</v>
      </c>
      <c r="D159">
        <v>1</v>
      </c>
      <c r="E159">
        <v>1</v>
      </c>
      <c r="F159">
        <v>1</v>
      </c>
    </row>
    <row r="160" spans="1:6" x14ac:dyDescent="0.35">
      <c r="A160" s="1" t="s">
        <v>163</v>
      </c>
      <c r="B160">
        <v>1</v>
      </c>
      <c r="C160">
        <v>1</v>
      </c>
      <c r="D160">
        <v>1</v>
      </c>
      <c r="E160">
        <v>1</v>
      </c>
    </row>
    <row r="161" spans="1:6" x14ac:dyDescent="0.35">
      <c r="A161" s="1" t="s">
        <v>164</v>
      </c>
      <c r="E161">
        <v>1</v>
      </c>
      <c r="F161">
        <v>1</v>
      </c>
    </row>
    <row r="162" spans="1:6" x14ac:dyDescent="0.35">
      <c r="A162" s="1" t="s">
        <v>165</v>
      </c>
      <c r="B162">
        <v>1</v>
      </c>
      <c r="C162">
        <v>1</v>
      </c>
      <c r="D162">
        <v>1</v>
      </c>
      <c r="E162">
        <v>1</v>
      </c>
      <c r="F162">
        <v>1</v>
      </c>
    </row>
    <row r="163" spans="1:6" x14ac:dyDescent="0.35">
      <c r="A163" s="1" t="s">
        <v>166</v>
      </c>
      <c r="B163">
        <v>1</v>
      </c>
      <c r="D163">
        <v>1</v>
      </c>
    </row>
    <row r="164" spans="1:6" x14ac:dyDescent="0.35">
      <c r="A164" s="1" t="s">
        <v>167</v>
      </c>
      <c r="B164">
        <v>1</v>
      </c>
      <c r="E164">
        <v>1</v>
      </c>
    </row>
    <row r="165" spans="1:6" x14ac:dyDescent="0.35">
      <c r="A165" s="1" t="s">
        <v>168</v>
      </c>
      <c r="B165">
        <v>1</v>
      </c>
      <c r="C165">
        <v>1</v>
      </c>
      <c r="E165">
        <v>1</v>
      </c>
      <c r="F165">
        <v>1</v>
      </c>
    </row>
    <row r="166" spans="1:6" x14ac:dyDescent="0.35">
      <c r="A166" s="1" t="s">
        <v>169</v>
      </c>
      <c r="B166">
        <v>1</v>
      </c>
      <c r="D166">
        <v>1</v>
      </c>
      <c r="F166">
        <v>1</v>
      </c>
    </row>
    <row r="167" spans="1:6" x14ac:dyDescent="0.35">
      <c r="A167" s="1" t="s">
        <v>170</v>
      </c>
      <c r="D167">
        <v>1</v>
      </c>
    </row>
    <row r="168" spans="1:6" x14ac:dyDescent="0.35">
      <c r="A168" s="1" t="s">
        <v>171</v>
      </c>
      <c r="C168">
        <v>1</v>
      </c>
    </row>
    <row r="169" spans="1:6" x14ac:dyDescent="0.35">
      <c r="A169" s="1" t="s">
        <v>172</v>
      </c>
      <c r="F169">
        <v>1</v>
      </c>
    </row>
    <row r="170" spans="1:6" x14ac:dyDescent="0.35">
      <c r="A170" s="1" t="s">
        <v>173</v>
      </c>
      <c r="F170">
        <v>1</v>
      </c>
    </row>
    <row r="171" spans="1:6" x14ac:dyDescent="0.35">
      <c r="A171" s="1" t="s">
        <v>174</v>
      </c>
      <c r="B171">
        <v>1</v>
      </c>
      <c r="C171">
        <v>1</v>
      </c>
      <c r="E171">
        <v>1</v>
      </c>
      <c r="F171">
        <v>1</v>
      </c>
    </row>
    <row r="172" spans="1:6" x14ac:dyDescent="0.35">
      <c r="A172" s="1" t="s">
        <v>175</v>
      </c>
      <c r="B172">
        <v>1</v>
      </c>
      <c r="D172">
        <v>1</v>
      </c>
      <c r="E172">
        <v>1</v>
      </c>
    </row>
    <row r="173" spans="1:6" x14ac:dyDescent="0.35">
      <c r="A173" s="1" t="s">
        <v>176</v>
      </c>
      <c r="E173">
        <v>1</v>
      </c>
    </row>
    <row r="174" spans="1:6" x14ac:dyDescent="0.35">
      <c r="A174" s="1" t="s">
        <v>177</v>
      </c>
      <c r="B174">
        <v>1</v>
      </c>
      <c r="D174">
        <v>1</v>
      </c>
      <c r="E174">
        <v>1</v>
      </c>
      <c r="F174">
        <v>1</v>
      </c>
    </row>
    <row r="175" spans="1:6" x14ac:dyDescent="0.35">
      <c r="A175" s="1" t="s">
        <v>178</v>
      </c>
      <c r="C175">
        <v>1</v>
      </c>
      <c r="D175">
        <v>1</v>
      </c>
      <c r="E175">
        <v>1</v>
      </c>
      <c r="F175">
        <v>1</v>
      </c>
    </row>
    <row r="176" spans="1:6" x14ac:dyDescent="0.35">
      <c r="A176" s="1" t="s">
        <v>179</v>
      </c>
      <c r="B176">
        <v>1</v>
      </c>
      <c r="C176">
        <v>1</v>
      </c>
    </row>
    <row r="177" spans="1:6" x14ac:dyDescent="0.35">
      <c r="A177" s="1" t="s">
        <v>180</v>
      </c>
      <c r="C177">
        <v>1</v>
      </c>
      <c r="D177">
        <v>1</v>
      </c>
      <c r="E177">
        <v>1</v>
      </c>
    </row>
    <row r="178" spans="1:6" x14ac:dyDescent="0.35">
      <c r="A178" s="1" t="s">
        <v>181</v>
      </c>
      <c r="B178">
        <v>1</v>
      </c>
      <c r="C178">
        <v>1</v>
      </c>
      <c r="D178">
        <v>1</v>
      </c>
      <c r="F178">
        <v>1</v>
      </c>
    </row>
    <row r="179" spans="1:6" x14ac:dyDescent="0.35">
      <c r="A179" s="1" t="s">
        <v>182</v>
      </c>
      <c r="F179">
        <v>1</v>
      </c>
    </row>
    <row r="180" spans="1:6" x14ac:dyDescent="0.35">
      <c r="A180" s="1" t="s">
        <v>183</v>
      </c>
      <c r="B180">
        <v>1</v>
      </c>
      <c r="E180">
        <v>1</v>
      </c>
      <c r="F180">
        <v>1</v>
      </c>
    </row>
    <row r="181" spans="1:6" x14ac:dyDescent="0.35">
      <c r="A181" s="1" t="s">
        <v>184</v>
      </c>
      <c r="B181">
        <v>1</v>
      </c>
      <c r="C181">
        <v>1</v>
      </c>
      <c r="F181">
        <v>1</v>
      </c>
    </row>
    <row r="182" spans="1:6" x14ac:dyDescent="0.35">
      <c r="A182" s="1" t="s">
        <v>185</v>
      </c>
      <c r="E182">
        <v>1</v>
      </c>
    </row>
    <row r="183" spans="1:6" x14ac:dyDescent="0.35">
      <c r="A183" s="1" t="s">
        <v>186</v>
      </c>
      <c r="C183">
        <v>1</v>
      </c>
      <c r="E183">
        <v>1</v>
      </c>
      <c r="F183">
        <v>1</v>
      </c>
    </row>
    <row r="184" spans="1:6" x14ac:dyDescent="0.35">
      <c r="A184" s="1" t="s">
        <v>187</v>
      </c>
      <c r="C184">
        <v>1</v>
      </c>
      <c r="D184">
        <v>1</v>
      </c>
      <c r="F184">
        <v>1</v>
      </c>
    </row>
    <row r="185" spans="1:6" x14ac:dyDescent="0.35">
      <c r="A185" s="1" t="s">
        <v>188</v>
      </c>
      <c r="D185">
        <v>1</v>
      </c>
    </row>
    <row r="186" spans="1:6" x14ac:dyDescent="0.35">
      <c r="A186" s="1" t="s">
        <v>189</v>
      </c>
      <c r="C186">
        <v>1</v>
      </c>
      <c r="E186">
        <v>1</v>
      </c>
      <c r="F186">
        <v>1</v>
      </c>
    </row>
    <row r="187" spans="1:6" x14ac:dyDescent="0.35">
      <c r="A187" s="1" t="s">
        <v>190</v>
      </c>
      <c r="B187">
        <v>1</v>
      </c>
    </row>
    <row r="188" spans="1:6" x14ac:dyDescent="0.35">
      <c r="A188" s="1" t="s">
        <v>191</v>
      </c>
      <c r="B188">
        <v>1</v>
      </c>
      <c r="F188">
        <v>1</v>
      </c>
    </row>
    <row r="189" spans="1:6" x14ac:dyDescent="0.35">
      <c r="A189" s="1" t="s">
        <v>192</v>
      </c>
      <c r="B189">
        <v>1</v>
      </c>
      <c r="D189">
        <v>1</v>
      </c>
      <c r="E189">
        <v>1</v>
      </c>
    </row>
    <row r="190" spans="1:6" x14ac:dyDescent="0.35">
      <c r="A190" s="1" t="s">
        <v>193</v>
      </c>
      <c r="D190">
        <v>1</v>
      </c>
      <c r="E190">
        <v>1</v>
      </c>
      <c r="F190">
        <v>1</v>
      </c>
    </row>
    <row r="191" spans="1:6" x14ac:dyDescent="0.35">
      <c r="A191" s="1" t="s">
        <v>194</v>
      </c>
      <c r="C191">
        <v>1</v>
      </c>
      <c r="E191">
        <v>1</v>
      </c>
      <c r="F191">
        <v>1</v>
      </c>
    </row>
    <row r="192" spans="1:6" x14ac:dyDescent="0.35">
      <c r="A192" s="1" t="s">
        <v>195</v>
      </c>
      <c r="B192">
        <v>1</v>
      </c>
      <c r="C192">
        <v>1</v>
      </c>
      <c r="D192">
        <v>1</v>
      </c>
      <c r="E192">
        <v>1</v>
      </c>
      <c r="F192">
        <v>1</v>
      </c>
    </row>
    <row r="193" spans="1:6" x14ac:dyDescent="0.35">
      <c r="A193" s="1" t="s">
        <v>196</v>
      </c>
      <c r="E193">
        <v>1</v>
      </c>
    </row>
    <row r="194" spans="1:6" x14ac:dyDescent="0.35">
      <c r="A194" s="1" t="s">
        <v>197</v>
      </c>
      <c r="B194">
        <v>1</v>
      </c>
      <c r="E194">
        <v>1</v>
      </c>
      <c r="F194">
        <v>1</v>
      </c>
    </row>
    <row r="195" spans="1:6" x14ac:dyDescent="0.35">
      <c r="A195" s="1" t="s">
        <v>198</v>
      </c>
      <c r="C195">
        <v>1</v>
      </c>
      <c r="D195">
        <v>1</v>
      </c>
    </row>
    <row r="196" spans="1:6" x14ac:dyDescent="0.35">
      <c r="A196" s="1" t="s">
        <v>199</v>
      </c>
      <c r="C196">
        <v>1</v>
      </c>
      <c r="D196">
        <v>1</v>
      </c>
      <c r="E196">
        <v>1</v>
      </c>
    </row>
    <row r="197" spans="1:6" x14ac:dyDescent="0.35">
      <c r="A197" s="1" t="s">
        <v>200</v>
      </c>
      <c r="B197">
        <v>1</v>
      </c>
      <c r="C197">
        <v>1</v>
      </c>
      <c r="E197">
        <v>1</v>
      </c>
      <c r="F197">
        <v>1</v>
      </c>
    </row>
    <row r="198" spans="1:6" x14ac:dyDescent="0.35">
      <c r="A198" s="1" t="s">
        <v>201</v>
      </c>
      <c r="D198">
        <v>1</v>
      </c>
    </row>
    <row r="199" spans="1:6" x14ac:dyDescent="0.35">
      <c r="A199" s="1" t="s">
        <v>202</v>
      </c>
      <c r="D199">
        <v>1</v>
      </c>
    </row>
    <row r="200" spans="1:6" x14ac:dyDescent="0.35">
      <c r="A200" s="1" t="s">
        <v>203</v>
      </c>
      <c r="C200">
        <v>1</v>
      </c>
      <c r="D200">
        <v>1</v>
      </c>
      <c r="E200">
        <v>1</v>
      </c>
      <c r="F200">
        <v>1</v>
      </c>
    </row>
    <row r="201" spans="1:6" x14ac:dyDescent="0.35">
      <c r="A201" s="1" t="s">
        <v>204</v>
      </c>
      <c r="B201">
        <v>1</v>
      </c>
      <c r="D201">
        <v>1</v>
      </c>
      <c r="F201">
        <v>1</v>
      </c>
    </row>
    <row r="202" spans="1:6" x14ac:dyDescent="0.35">
      <c r="A202" s="1" t="s">
        <v>205</v>
      </c>
      <c r="E202">
        <v>1</v>
      </c>
      <c r="F202">
        <v>1</v>
      </c>
    </row>
    <row r="203" spans="1:6" x14ac:dyDescent="0.35">
      <c r="A203" s="1" t="s">
        <v>206</v>
      </c>
      <c r="B203">
        <v>1</v>
      </c>
      <c r="C203">
        <v>1</v>
      </c>
      <c r="D203">
        <v>1</v>
      </c>
      <c r="E203">
        <v>1</v>
      </c>
      <c r="F203">
        <v>1</v>
      </c>
    </row>
    <row r="204" spans="1:6" x14ac:dyDescent="0.35">
      <c r="A204" s="1" t="s">
        <v>207</v>
      </c>
      <c r="B204">
        <v>1</v>
      </c>
      <c r="C204">
        <v>1</v>
      </c>
      <c r="D204">
        <v>1</v>
      </c>
      <c r="F204">
        <v>1</v>
      </c>
    </row>
    <row r="205" spans="1:6" x14ac:dyDescent="0.35">
      <c r="A205" s="1" t="s">
        <v>208</v>
      </c>
      <c r="B205">
        <v>1</v>
      </c>
      <c r="E205">
        <v>1</v>
      </c>
      <c r="F205">
        <v>1</v>
      </c>
    </row>
    <row r="206" spans="1:6" x14ac:dyDescent="0.35">
      <c r="A206" s="1" t="s">
        <v>209</v>
      </c>
      <c r="B206">
        <v>1</v>
      </c>
    </row>
    <row r="207" spans="1:6" x14ac:dyDescent="0.35">
      <c r="A207" s="1" t="s">
        <v>210</v>
      </c>
      <c r="B207">
        <v>1</v>
      </c>
      <c r="C207">
        <v>1</v>
      </c>
      <c r="D207">
        <v>1</v>
      </c>
    </row>
    <row r="208" spans="1:6" x14ac:dyDescent="0.35">
      <c r="A208" s="1" t="s">
        <v>211</v>
      </c>
      <c r="B208">
        <v>1</v>
      </c>
      <c r="F208">
        <v>1</v>
      </c>
    </row>
    <row r="209" spans="1:6" x14ac:dyDescent="0.35">
      <c r="A209" s="1" t="s">
        <v>212</v>
      </c>
      <c r="C209">
        <v>1</v>
      </c>
    </row>
    <row r="210" spans="1:6" x14ac:dyDescent="0.35">
      <c r="A210" s="1" t="s">
        <v>214</v>
      </c>
      <c r="C210">
        <v>1</v>
      </c>
    </row>
    <row r="211" spans="1:6" x14ac:dyDescent="0.35">
      <c r="A211" s="1" t="s">
        <v>215</v>
      </c>
      <c r="B211">
        <v>1</v>
      </c>
      <c r="C211">
        <v>1</v>
      </c>
      <c r="D211">
        <v>1</v>
      </c>
    </row>
    <row r="212" spans="1:6" x14ac:dyDescent="0.35">
      <c r="A212" s="1" t="s">
        <v>216</v>
      </c>
      <c r="C212">
        <v>1</v>
      </c>
    </row>
    <row r="213" spans="1:6" x14ac:dyDescent="0.35">
      <c r="A213" s="1" t="s">
        <v>217</v>
      </c>
      <c r="B213">
        <v>1</v>
      </c>
      <c r="C213">
        <v>1</v>
      </c>
      <c r="E213">
        <v>1</v>
      </c>
      <c r="F213">
        <v>1</v>
      </c>
    </row>
    <row r="214" spans="1:6" x14ac:dyDescent="0.35">
      <c r="A214" s="1" t="s">
        <v>218</v>
      </c>
      <c r="C214">
        <v>1</v>
      </c>
      <c r="D214">
        <v>1</v>
      </c>
      <c r="E214">
        <v>1</v>
      </c>
      <c r="F214">
        <v>1</v>
      </c>
    </row>
    <row r="215" spans="1:6" x14ac:dyDescent="0.35">
      <c r="A215" s="1" t="s">
        <v>219</v>
      </c>
      <c r="B215">
        <v>1</v>
      </c>
      <c r="D215">
        <v>1</v>
      </c>
      <c r="E215">
        <v>1</v>
      </c>
      <c r="F215">
        <v>1</v>
      </c>
    </row>
    <row r="216" spans="1:6" x14ac:dyDescent="0.35">
      <c r="A216" s="1" t="s">
        <v>220</v>
      </c>
      <c r="C216">
        <v>1</v>
      </c>
      <c r="F216">
        <v>1</v>
      </c>
    </row>
    <row r="217" spans="1:6" x14ac:dyDescent="0.35">
      <c r="A217" s="1" t="s">
        <v>221</v>
      </c>
      <c r="B217">
        <v>1</v>
      </c>
      <c r="D217">
        <v>1</v>
      </c>
      <c r="E217">
        <v>1</v>
      </c>
      <c r="F217">
        <v>1</v>
      </c>
    </row>
    <row r="218" spans="1:6" x14ac:dyDescent="0.35">
      <c r="A218" s="1" t="s">
        <v>222</v>
      </c>
      <c r="C218">
        <v>1</v>
      </c>
      <c r="D218">
        <v>1</v>
      </c>
      <c r="F218">
        <v>1</v>
      </c>
    </row>
    <row r="219" spans="1:6" x14ac:dyDescent="0.35">
      <c r="A219" s="1" t="s">
        <v>223</v>
      </c>
      <c r="B219">
        <v>1</v>
      </c>
      <c r="E219">
        <v>1</v>
      </c>
    </row>
    <row r="220" spans="1:6" x14ac:dyDescent="0.35">
      <c r="A220" s="1" t="s">
        <v>224</v>
      </c>
      <c r="B220">
        <v>1</v>
      </c>
      <c r="C220">
        <v>1</v>
      </c>
    </row>
    <row r="221" spans="1:6" x14ac:dyDescent="0.35">
      <c r="A221" s="1" t="s">
        <v>225</v>
      </c>
      <c r="D221">
        <v>1</v>
      </c>
      <c r="E221">
        <v>1</v>
      </c>
      <c r="F221">
        <v>1</v>
      </c>
    </row>
    <row r="222" spans="1:6" x14ac:dyDescent="0.35">
      <c r="A222" s="1" t="s">
        <v>226</v>
      </c>
      <c r="B222">
        <v>1</v>
      </c>
      <c r="E222">
        <v>1</v>
      </c>
      <c r="F222">
        <v>1</v>
      </c>
    </row>
    <row r="223" spans="1:6" x14ac:dyDescent="0.35">
      <c r="A223" s="1" t="s">
        <v>227</v>
      </c>
      <c r="C223">
        <v>1</v>
      </c>
      <c r="D223">
        <v>1</v>
      </c>
      <c r="E223">
        <v>1</v>
      </c>
      <c r="F223">
        <v>1</v>
      </c>
    </row>
    <row r="224" spans="1:6" x14ac:dyDescent="0.35">
      <c r="A224" s="1" t="s">
        <v>228</v>
      </c>
      <c r="B224">
        <v>1</v>
      </c>
      <c r="C224">
        <v>1</v>
      </c>
      <c r="D224">
        <v>1</v>
      </c>
      <c r="F224">
        <v>1</v>
      </c>
    </row>
    <row r="225" spans="1:6" x14ac:dyDescent="0.35">
      <c r="A225" s="1" t="s">
        <v>229</v>
      </c>
      <c r="D225">
        <v>1</v>
      </c>
    </row>
    <row r="226" spans="1:6" x14ac:dyDescent="0.35">
      <c r="A226" s="1" t="s">
        <v>230</v>
      </c>
      <c r="C226">
        <v>1</v>
      </c>
      <c r="E226">
        <v>1</v>
      </c>
      <c r="F226">
        <v>1</v>
      </c>
    </row>
    <row r="227" spans="1:6" x14ac:dyDescent="0.35">
      <c r="A227" s="1" t="s">
        <v>231</v>
      </c>
      <c r="C227">
        <v>1</v>
      </c>
      <c r="F227">
        <v>1</v>
      </c>
    </row>
    <row r="228" spans="1:6" x14ac:dyDescent="0.35">
      <c r="A228" s="1" t="s">
        <v>232</v>
      </c>
      <c r="D228">
        <v>1</v>
      </c>
      <c r="E228">
        <v>1</v>
      </c>
    </row>
    <row r="229" spans="1:6" x14ac:dyDescent="0.35">
      <c r="A229" s="1" t="s">
        <v>233</v>
      </c>
      <c r="D229">
        <v>1</v>
      </c>
      <c r="E229">
        <v>1</v>
      </c>
      <c r="F229">
        <v>1</v>
      </c>
    </row>
    <row r="230" spans="1:6" x14ac:dyDescent="0.35">
      <c r="A230" s="1" t="s">
        <v>234</v>
      </c>
      <c r="B230">
        <v>1</v>
      </c>
      <c r="C230">
        <v>1</v>
      </c>
    </row>
    <row r="231" spans="1:6" x14ac:dyDescent="0.35">
      <c r="A231" s="1" t="s">
        <v>235</v>
      </c>
      <c r="D231">
        <v>1</v>
      </c>
      <c r="F231">
        <v>1</v>
      </c>
    </row>
    <row r="232" spans="1:6" x14ac:dyDescent="0.35">
      <c r="A232" s="1" t="s">
        <v>236</v>
      </c>
      <c r="D232">
        <v>1</v>
      </c>
      <c r="F232">
        <v>1</v>
      </c>
    </row>
    <row r="233" spans="1:6" x14ac:dyDescent="0.35">
      <c r="A233" s="1" t="s">
        <v>237</v>
      </c>
      <c r="B233">
        <v>1</v>
      </c>
    </row>
    <row r="234" spans="1:6" x14ac:dyDescent="0.35">
      <c r="A234" s="1" t="s">
        <v>238</v>
      </c>
      <c r="C234">
        <v>1</v>
      </c>
      <c r="E234">
        <v>1</v>
      </c>
      <c r="F234">
        <v>1</v>
      </c>
    </row>
    <row r="235" spans="1:6" x14ac:dyDescent="0.35">
      <c r="A235" s="1" t="s">
        <v>239</v>
      </c>
      <c r="D235">
        <v>1</v>
      </c>
      <c r="E235">
        <v>1</v>
      </c>
    </row>
    <row r="236" spans="1:6" x14ac:dyDescent="0.35">
      <c r="A236" s="1" t="s">
        <v>240</v>
      </c>
      <c r="B236">
        <v>1</v>
      </c>
      <c r="C236">
        <v>1</v>
      </c>
    </row>
    <row r="237" spans="1:6" x14ac:dyDescent="0.35">
      <c r="A237" s="1" t="s">
        <v>241</v>
      </c>
      <c r="B237">
        <v>1</v>
      </c>
      <c r="C237">
        <v>1</v>
      </c>
      <c r="D237">
        <v>1</v>
      </c>
      <c r="E237">
        <v>1</v>
      </c>
    </row>
    <row r="238" spans="1:6" x14ac:dyDescent="0.35">
      <c r="A238" s="1" t="s">
        <v>242</v>
      </c>
      <c r="B238">
        <v>1</v>
      </c>
      <c r="D238">
        <v>1</v>
      </c>
      <c r="E238">
        <v>1</v>
      </c>
      <c r="F238">
        <v>1</v>
      </c>
    </row>
    <row r="239" spans="1:6" x14ac:dyDescent="0.35">
      <c r="A239" s="1" t="s">
        <v>243</v>
      </c>
      <c r="B239">
        <v>1</v>
      </c>
      <c r="D239">
        <v>1</v>
      </c>
      <c r="F239">
        <v>1</v>
      </c>
    </row>
    <row r="240" spans="1:6" x14ac:dyDescent="0.35">
      <c r="A240" s="1" t="s">
        <v>244</v>
      </c>
      <c r="C240">
        <v>1</v>
      </c>
      <c r="E240">
        <v>1</v>
      </c>
    </row>
    <row r="241" spans="1:6" x14ac:dyDescent="0.35">
      <c r="A241" s="1" t="s">
        <v>245</v>
      </c>
      <c r="B241">
        <v>1</v>
      </c>
      <c r="E241">
        <v>1</v>
      </c>
      <c r="F241">
        <v>1</v>
      </c>
    </row>
    <row r="242" spans="1:6" x14ac:dyDescent="0.35">
      <c r="A242" s="1" t="s">
        <v>246</v>
      </c>
      <c r="B242">
        <v>1</v>
      </c>
      <c r="D242">
        <v>1</v>
      </c>
      <c r="F242">
        <v>1</v>
      </c>
    </row>
    <row r="243" spans="1:6" x14ac:dyDescent="0.35">
      <c r="A243" s="1" t="s">
        <v>247</v>
      </c>
      <c r="B243">
        <v>1</v>
      </c>
      <c r="D243">
        <v>1</v>
      </c>
    </row>
    <row r="244" spans="1:6" x14ac:dyDescent="0.35">
      <c r="A244" s="1" t="s">
        <v>248</v>
      </c>
      <c r="C244">
        <v>1</v>
      </c>
      <c r="D244">
        <v>1</v>
      </c>
    </row>
    <row r="245" spans="1:6" x14ac:dyDescent="0.35">
      <c r="A245" s="1" t="s">
        <v>249</v>
      </c>
      <c r="D245">
        <v>1</v>
      </c>
      <c r="E245">
        <v>1</v>
      </c>
      <c r="F245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8A6A7-27C3-4C44-9656-CC762476CB60}">
  <dimension ref="A1:E251"/>
  <sheetViews>
    <sheetView workbookViewId="0"/>
  </sheetViews>
  <sheetFormatPr defaultRowHeight="14.5" x14ac:dyDescent="0.35"/>
  <sheetData>
    <row r="1" spans="1:5" x14ac:dyDescent="0.35">
      <c r="B1" s="1" t="s">
        <v>250</v>
      </c>
      <c r="C1" s="1" t="s">
        <v>251</v>
      </c>
      <c r="D1" s="1" t="s">
        <v>252</v>
      </c>
      <c r="E1" s="1" t="s">
        <v>253</v>
      </c>
    </row>
    <row r="2" spans="1:5" x14ac:dyDescent="0.35">
      <c r="A2" s="1" t="s">
        <v>0</v>
      </c>
      <c r="B2">
        <v>8890.6591653079267</v>
      </c>
      <c r="C2">
        <v>2111134.170496</v>
      </c>
      <c r="D2">
        <v>1331424.5730885433</v>
      </c>
      <c r="E2">
        <v>50</v>
      </c>
    </row>
    <row r="3" spans="1:5" x14ac:dyDescent="0.35">
      <c r="A3" s="1" t="s">
        <v>1</v>
      </c>
      <c r="B3">
        <v>4637.2031717836808</v>
      </c>
      <c r="C3">
        <v>786181.58611200005</v>
      </c>
      <c r="D3">
        <v>674277.58611200005</v>
      </c>
      <c r="E3">
        <v>160</v>
      </c>
    </row>
    <row r="4" spans="1:5" x14ac:dyDescent="0.35">
      <c r="A4" s="1" t="s">
        <v>2</v>
      </c>
      <c r="B4">
        <v>6670.5134141091548</v>
      </c>
      <c r="C4">
        <v>1505342.4788480001</v>
      </c>
      <c r="D4">
        <v>1004595.3936911378</v>
      </c>
    </row>
    <row r="5" spans="1:5" x14ac:dyDescent="0.35">
      <c r="A5" s="1" t="s">
        <v>3</v>
      </c>
      <c r="B5">
        <v>5034.8873005378728</v>
      </c>
      <c r="C5">
        <v>1033229.1008</v>
      </c>
      <c r="D5">
        <v>734169.7741773905</v>
      </c>
      <c r="E5">
        <v>160</v>
      </c>
    </row>
    <row r="6" spans="1:5" x14ac:dyDescent="0.35">
      <c r="A6" s="1" t="s">
        <v>4</v>
      </c>
      <c r="B6">
        <v>8885.1927412019213</v>
      </c>
      <c r="C6">
        <v>1369705.836928</v>
      </c>
      <c r="D6">
        <v>1338131.4369280001</v>
      </c>
    </row>
    <row r="7" spans="1:5" x14ac:dyDescent="0.35">
      <c r="A7" s="1" t="s">
        <v>5</v>
      </c>
      <c r="B7">
        <v>5711.878140067839</v>
      </c>
      <c r="C7">
        <v>934541.01145599992</v>
      </c>
      <c r="D7">
        <v>860222.6114559999</v>
      </c>
    </row>
    <row r="8" spans="1:5" x14ac:dyDescent="0.35">
      <c r="A8" s="1" t="s">
        <v>6</v>
      </c>
      <c r="B8">
        <v>7711.0451193651215</v>
      </c>
      <c r="C8">
        <v>1221580.3758080001</v>
      </c>
      <c r="D8">
        <v>1161301.9758080002</v>
      </c>
    </row>
    <row r="9" spans="1:5" x14ac:dyDescent="0.35">
      <c r="A9" s="1" t="s">
        <v>7</v>
      </c>
      <c r="B9">
        <v>4011.590489247294</v>
      </c>
      <c r="C9">
        <v>1416335.888448</v>
      </c>
      <c r="D9">
        <v>587588.92910350813</v>
      </c>
      <c r="E9">
        <v>110</v>
      </c>
    </row>
    <row r="10" spans="1:5" x14ac:dyDescent="0.35">
      <c r="A10" s="1" t="s">
        <v>8</v>
      </c>
      <c r="B10">
        <v>2822.3239951810378</v>
      </c>
      <c r="C10">
        <v>582775.96915200003</v>
      </c>
      <c r="D10">
        <v>417518.67397304787</v>
      </c>
      <c r="E10">
        <v>50</v>
      </c>
    </row>
    <row r="11" spans="1:5" x14ac:dyDescent="0.35">
      <c r="A11" s="1" t="s">
        <v>9</v>
      </c>
      <c r="B11">
        <v>3402.0839651737601</v>
      </c>
      <c r="C11">
        <v>632169.00198400009</v>
      </c>
      <c r="D11">
        <v>497301.80198400002</v>
      </c>
      <c r="E11">
        <v>100</v>
      </c>
    </row>
    <row r="12" spans="1:5" x14ac:dyDescent="0.35">
      <c r="A12" s="1" t="s">
        <v>10</v>
      </c>
      <c r="B12">
        <v>3808.9935911491243</v>
      </c>
      <c r="C12">
        <v>1025556.930944</v>
      </c>
      <c r="D12">
        <v>551053.25167908496</v>
      </c>
      <c r="E12">
        <v>150</v>
      </c>
    </row>
    <row r="13" spans="1:5" x14ac:dyDescent="0.35">
      <c r="A13" s="1" t="s">
        <v>11</v>
      </c>
      <c r="B13">
        <v>4729.1133421206086</v>
      </c>
      <c r="C13">
        <v>1744242.9846399999</v>
      </c>
      <c r="D13">
        <v>688119.47923503141</v>
      </c>
      <c r="E13">
        <v>160</v>
      </c>
    </row>
    <row r="14" spans="1:5" x14ac:dyDescent="0.35">
      <c r="A14" s="1" t="s">
        <v>12</v>
      </c>
      <c r="B14">
        <v>4689.2414551588863</v>
      </c>
      <c r="C14">
        <v>1793283.3751039999</v>
      </c>
      <c r="D14">
        <v>674584.55649983231</v>
      </c>
      <c r="E14">
        <v>210</v>
      </c>
    </row>
    <row r="15" spans="1:5" x14ac:dyDescent="0.35">
      <c r="A15" s="1" t="s">
        <v>13</v>
      </c>
      <c r="B15">
        <v>5337.9720170700803</v>
      </c>
      <c r="C15">
        <v>903948.52787199989</v>
      </c>
      <c r="D15">
        <v>796381.32787200005</v>
      </c>
      <c r="E15">
        <v>50</v>
      </c>
    </row>
    <row r="16" spans="1:5" x14ac:dyDescent="0.35">
      <c r="A16" s="1" t="s">
        <v>14</v>
      </c>
      <c r="B16">
        <v>6467.8047984076802</v>
      </c>
      <c r="C16">
        <v>980514.98771200003</v>
      </c>
      <c r="D16">
        <v>974066.98771200003</v>
      </c>
    </row>
    <row r="17" spans="1:5" x14ac:dyDescent="0.35">
      <c r="A17" s="1" t="s">
        <v>15</v>
      </c>
      <c r="B17">
        <v>12250.22653168617</v>
      </c>
      <c r="C17">
        <v>2569621.9685760001</v>
      </c>
      <c r="D17">
        <v>1837383.5138081582</v>
      </c>
      <c r="E17">
        <v>50</v>
      </c>
    </row>
    <row r="18" spans="1:5" x14ac:dyDescent="0.35">
      <c r="A18" s="1" t="s">
        <v>16</v>
      </c>
      <c r="B18">
        <v>6674.4453191227758</v>
      </c>
      <c r="C18">
        <v>1823835.5865600002</v>
      </c>
      <c r="D18">
        <v>990127.30709680356</v>
      </c>
      <c r="E18">
        <v>100</v>
      </c>
    </row>
    <row r="19" spans="1:5" x14ac:dyDescent="0.35">
      <c r="A19" s="1" t="s">
        <v>17</v>
      </c>
      <c r="B19">
        <v>8244.2802631171144</v>
      </c>
      <c r="C19">
        <v>1560629.117632</v>
      </c>
      <c r="D19">
        <v>1241608.4733610111</v>
      </c>
    </row>
    <row r="20" spans="1:5" x14ac:dyDescent="0.35">
      <c r="A20" s="1" t="s">
        <v>18</v>
      </c>
      <c r="B20">
        <v>8109.6294330316796</v>
      </c>
      <c r="C20">
        <v>1338653.589312</v>
      </c>
      <c r="D20">
        <v>1212293.589312</v>
      </c>
      <c r="E20">
        <v>59.999999999999986</v>
      </c>
    </row>
    <row r="21" spans="1:5" x14ac:dyDescent="0.35">
      <c r="A21" s="1" t="s">
        <v>19</v>
      </c>
      <c r="B21">
        <v>6464.2575173017603</v>
      </c>
      <c r="C21">
        <v>1062409.5971840001</v>
      </c>
      <c r="D21">
        <v>950942.397184</v>
      </c>
      <c r="E21">
        <v>150</v>
      </c>
    </row>
    <row r="22" spans="1:5" x14ac:dyDescent="0.35">
      <c r="A22" s="1" t="s">
        <v>20</v>
      </c>
      <c r="B22">
        <v>6583.9372166092799</v>
      </c>
      <c r="C22">
        <v>1167224.665152</v>
      </c>
      <c r="D22">
        <v>982520.66515200003</v>
      </c>
      <c r="E22">
        <v>60</v>
      </c>
    </row>
    <row r="23" spans="1:5" x14ac:dyDescent="0.35">
      <c r="A23" s="1" t="s">
        <v>21</v>
      </c>
      <c r="B23">
        <v>7808.8229944012801</v>
      </c>
      <c r="C23">
        <v>1413769.997952</v>
      </c>
      <c r="D23">
        <v>1153437.197952</v>
      </c>
      <c r="E23">
        <v>150</v>
      </c>
    </row>
    <row r="24" spans="1:5" x14ac:dyDescent="0.35">
      <c r="A24" s="1" t="s">
        <v>22</v>
      </c>
      <c r="B24">
        <v>7063.7071123676697</v>
      </c>
      <c r="C24">
        <v>1471851.6284160002</v>
      </c>
      <c r="D24">
        <v>1032184.8060794683</v>
      </c>
      <c r="E24">
        <v>210</v>
      </c>
    </row>
    <row r="25" spans="1:5" x14ac:dyDescent="0.35">
      <c r="A25" s="1" t="s">
        <v>23</v>
      </c>
      <c r="B25">
        <v>8395.4959787259704</v>
      </c>
      <c r="C25">
        <v>1819822.6592000001</v>
      </c>
      <c r="D25">
        <v>1264381.9245069232</v>
      </c>
    </row>
    <row r="26" spans="1:5" x14ac:dyDescent="0.35">
      <c r="A26" s="1" t="s">
        <v>24</v>
      </c>
      <c r="B26">
        <v>6943.2796312883202</v>
      </c>
      <c r="C26">
        <v>1439804.8986880002</v>
      </c>
      <c r="D26">
        <v>1036638.498688</v>
      </c>
      <c r="E26">
        <v>60</v>
      </c>
    </row>
    <row r="27" spans="1:5" x14ac:dyDescent="0.35">
      <c r="A27" s="1" t="s">
        <v>25</v>
      </c>
      <c r="B27">
        <v>7133.2050798796799</v>
      </c>
      <c r="C27">
        <v>1237744.0325120001</v>
      </c>
      <c r="D27">
        <v>1059217.6325119999</v>
      </c>
      <c r="E27">
        <v>100</v>
      </c>
    </row>
    <row r="28" spans="1:5" x14ac:dyDescent="0.35">
      <c r="A28" s="1" t="s">
        <v>26</v>
      </c>
      <c r="B28">
        <v>7750.9492721020979</v>
      </c>
      <c r="C28">
        <v>1746558.6503040001</v>
      </c>
      <c r="D28">
        <v>1167311.6373647738</v>
      </c>
    </row>
    <row r="29" spans="1:5" x14ac:dyDescent="0.35">
      <c r="A29" s="1" t="s">
        <v>27</v>
      </c>
      <c r="B29">
        <v>7888.1611918584631</v>
      </c>
      <c r="C29">
        <v>1523632.3007360001</v>
      </c>
      <c r="D29">
        <v>1180445.9626292866</v>
      </c>
      <c r="E29">
        <v>50</v>
      </c>
    </row>
    <row r="30" spans="1:5" x14ac:dyDescent="0.35">
      <c r="A30" s="1" t="s">
        <v>28</v>
      </c>
      <c r="B30">
        <v>5900.2770025318396</v>
      </c>
      <c r="C30">
        <v>1418102.469056</v>
      </c>
      <c r="D30">
        <v>872029.66905599996</v>
      </c>
      <c r="E30">
        <v>110.00000000000001</v>
      </c>
    </row>
    <row r="31" spans="1:5" x14ac:dyDescent="0.35">
      <c r="A31" s="1" t="s">
        <v>29</v>
      </c>
      <c r="B31">
        <v>8935.4650585058153</v>
      </c>
      <c r="C31">
        <v>2079347.924992</v>
      </c>
      <c r="D31">
        <v>1345702.5690520806</v>
      </c>
    </row>
    <row r="32" spans="1:5" x14ac:dyDescent="0.35">
      <c r="A32" s="1" t="s">
        <v>30</v>
      </c>
      <c r="B32">
        <v>7198.8089568307205</v>
      </c>
      <c r="C32">
        <v>1593333.030848</v>
      </c>
      <c r="D32">
        <v>1075121.830848</v>
      </c>
      <c r="E32">
        <v>60</v>
      </c>
    </row>
    <row r="33" spans="1:5" x14ac:dyDescent="0.35">
      <c r="A33" s="1" t="s">
        <v>31</v>
      </c>
      <c r="B33">
        <v>7058.4925261363205</v>
      </c>
      <c r="C33">
        <v>1448760.9418879999</v>
      </c>
      <c r="D33">
        <v>1047965.741888</v>
      </c>
      <c r="E33">
        <v>100</v>
      </c>
    </row>
    <row r="34" spans="1:5" x14ac:dyDescent="0.35">
      <c r="A34" s="1" t="s">
        <v>32</v>
      </c>
      <c r="B34">
        <v>6127.2273654581022</v>
      </c>
      <c r="C34">
        <v>1169414.424256</v>
      </c>
      <c r="D34">
        <v>891148.69961718412</v>
      </c>
      <c r="E34">
        <v>210</v>
      </c>
    </row>
    <row r="35" spans="1:5" x14ac:dyDescent="0.35">
      <c r="A35" s="1" t="s">
        <v>33</v>
      </c>
      <c r="B35">
        <v>3603.3848293017595</v>
      </c>
      <c r="C35">
        <v>545818.19718399993</v>
      </c>
      <c r="D35">
        <v>527618.19718399993</v>
      </c>
      <c r="E35">
        <v>100</v>
      </c>
    </row>
    <row r="36" spans="1:5" x14ac:dyDescent="0.35">
      <c r="A36" s="1" t="s">
        <v>34</v>
      </c>
      <c r="B36">
        <v>14023.359875932161</v>
      </c>
      <c r="C36">
        <v>2162287.7885440001</v>
      </c>
      <c r="D36">
        <v>2111951.7885440001</v>
      </c>
    </row>
    <row r="37" spans="1:5" x14ac:dyDescent="0.35">
      <c r="A37" s="1" t="s">
        <v>35</v>
      </c>
      <c r="B37">
        <v>8152.0897447648877</v>
      </c>
      <c r="C37">
        <v>1680786.9461759999</v>
      </c>
      <c r="D37">
        <v>1220194.2386694108</v>
      </c>
      <c r="E37">
        <v>50.000000000000014</v>
      </c>
    </row>
    <row r="38" spans="1:5" x14ac:dyDescent="0.35">
      <c r="A38" s="1" t="s">
        <v>36</v>
      </c>
      <c r="B38">
        <v>6925.9036683618597</v>
      </c>
      <c r="C38">
        <v>1402562.5768960002</v>
      </c>
      <c r="D38">
        <v>1011431.2753557017</v>
      </c>
      <c r="E38">
        <v>210</v>
      </c>
    </row>
    <row r="39" spans="1:5" x14ac:dyDescent="0.35">
      <c r="A39" s="1" t="s">
        <v>37</v>
      </c>
      <c r="B39">
        <v>5615.8952195716074</v>
      </c>
      <c r="C39">
        <v>1267358.431872</v>
      </c>
      <c r="D39">
        <v>829201.08728488057</v>
      </c>
      <c r="E39">
        <v>110</v>
      </c>
    </row>
    <row r="40" spans="1:5" x14ac:dyDescent="0.35">
      <c r="A40" s="1" t="s">
        <v>38</v>
      </c>
      <c r="B40">
        <v>4923.9129645878684</v>
      </c>
      <c r="C40">
        <v>1527813.9626879999</v>
      </c>
      <c r="D40">
        <v>681312.1934620284</v>
      </c>
      <c r="E40">
        <v>400</v>
      </c>
    </row>
    <row r="41" spans="1:5" x14ac:dyDescent="0.35">
      <c r="A41" s="1" t="s">
        <v>39</v>
      </c>
      <c r="B41">
        <v>8979.4760007801469</v>
      </c>
      <c r="C41">
        <v>1579299.2375680001</v>
      </c>
      <c r="D41">
        <v>1337270.4820452027</v>
      </c>
      <c r="E41">
        <v>100</v>
      </c>
    </row>
    <row r="42" spans="1:5" x14ac:dyDescent="0.35">
      <c r="A42" s="1" t="s">
        <v>40</v>
      </c>
      <c r="B42">
        <v>7921.4188966557522</v>
      </c>
      <c r="C42">
        <v>1650915.0078719999</v>
      </c>
      <c r="D42">
        <v>1161358.2675686374</v>
      </c>
      <c r="E42">
        <v>210</v>
      </c>
    </row>
    <row r="43" spans="1:5" x14ac:dyDescent="0.35">
      <c r="A43" s="1" t="s">
        <v>41</v>
      </c>
      <c r="B43">
        <v>7134.3918824601596</v>
      </c>
      <c r="C43">
        <v>1181650.343744</v>
      </c>
      <c r="D43">
        <v>1057890.343744</v>
      </c>
      <c r="E43">
        <v>110</v>
      </c>
    </row>
    <row r="44" spans="1:5" x14ac:dyDescent="0.35">
      <c r="A44" s="1" t="s">
        <v>42</v>
      </c>
      <c r="B44">
        <v>9168.4529015503522</v>
      </c>
      <c r="C44">
        <v>1935471.1900160001</v>
      </c>
      <c r="D44">
        <v>1373260.9791491495</v>
      </c>
      <c r="E44">
        <v>50</v>
      </c>
    </row>
    <row r="45" spans="1:5" x14ac:dyDescent="0.35">
      <c r="A45" s="1" t="s">
        <v>43</v>
      </c>
      <c r="B45">
        <v>8032.1866032055441</v>
      </c>
      <c r="C45">
        <v>1836751.71264</v>
      </c>
      <c r="D45">
        <v>1178040.1510851723</v>
      </c>
      <c r="E45">
        <v>210</v>
      </c>
    </row>
    <row r="46" spans="1:5" x14ac:dyDescent="0.35">
      <c r="A46" s="1" t="s">
        <v>44</v>
      </c>
      <c r="B46">
        <v>8724.130591902971</v>
      </c>
      <c r="C46">
        <v>1701735.3100800002</v>
      </c>
      <c r="D46">
        <v>1282248.5831179172</v>
      </c>
      <c r="E46">
        <v>210</v>
      </c>
    </row>
    <row r="47" spans="1:5" x14ac:dyDescent="0.35">
      <c r="A47" s="1" t="s">
        <v>45</v>
      </c>
      <c r="B47">
        <v>5932.82651666944</v>
      </c>
      <c r="C47">
        <v>987752.64889599988</v>
      </c>
      <c r="D47">
        <v>885967.84889599995</v>
      </c>
      <c r="E47">
        <v>50</v>
      </c>
    </row>
    <row r="48" spans="1:5" x14ac:dyDescent="0.35">
      <c r="A48" s="1" t="s">
        <v>46</v>
      </c>
      <c r="B48">
        <v>9340.9285097789725</v>
      </c>
      <c r="C48">
        <v>1862248.7919360003</v>
      </c>
      <c r="D48">
        <v>1390200.0767739415</v>
      </c>
      <c r="E48">
        <v>109.99999999999999</v>
      </c>
    </row>
    <row r="49" spans="1:5" x14ac:dyDescent="0.35">
      <c r="A49" s="1" t="s">
        <v>47</v>
      </c>
      <c r="B49">
        <v>10706.49208185856</v>
      </c>
      <c r="C49">
        <v>1617498.706304</v>
      </c>
      <c r="D49">
        <v>1612423.506304</v>
      </c>
    </row>
    <row r="50" spans="1:5" x14ac:dyDescent="0.35">
      <c r="A50" s="1" t="s">
        <v>48</v>
      </c>
      <c r="B50">
        <v>5675.6613401944705</v>
      </c>
      <c r="C50">
        <v>1895936.979456</v>
      </c>
      <c r="D50">
        <v>832177.91267989017</v>
      </c>
      <c r="E50">
        <v>150</v>
      </c>
    </row>
    <row r="51" spans="1:5" x14ac:dyDescent="0.35">
      <c r="A51" s="1" t="s">
        <v>49</v>
      </c>
      <c r="B51">
        <v>8946.4852130713607</v>
      </c>
      <c r="C51">
        <v>1843890.365824</v>
      </c>
      <c r="D51">
        <v>1330795.9658240001</v>
      </c>
      <c r="E51">
        <v>110</v>
      </c>
    </row>
    <row r="52" spans="1:5" x14ac:dyDescent="0.35">
      <c r="A52" s="1" t="s">
        <v>50</v>
      </c>
      <c r="B52">
        <v>12368.14753841152</v>
      </c>
      <c r="C52">
        <v>2284288.3015680001</v>
      </c>
      <c r="D52">
        <v>1855142.701568</v>
      </c>
      <c r="E52">
        <v>50</v>
      </c>
    </row>
    <row r="53" spans="1:5" x14ac:dyDescent="0.35">
      <c r="A53" s="1" t="s">
        <v>51</v>
      </c>
      <c r="B53">
        <v>6081.7187584153598</v>
      </c>
      <c r="C53">
        <v>1026385.615424</v>
      </c>
      <c r="D53">
        <v>848150.41542400001</v>
      </c>
      <c r="E53">
        <v>450</v>
      </c>
    </row>
    <row r="54" spans="1:5" x14ac:dyDescent="0.35">
      <c r="A54" s="1" t="s">
        <v>52</v>
      </c>
      <c r="B54">
        <v>4938.5112788699389</v>
      </c>
      <c r="C54">
        <v>1155490.5814400001</v>
      </c>
      <c r="D54">
        <v>721161.33717920759</v>
      </c>
      <c r="E54">
        <v>150</v>
      </c>
    </row>
    <row r="55" spans="1:5" x14ac:dyDescent="0.35">
      <c r="A55" s="1" t="s">
        <v>53</v>
      </c>
      <c r="B55">
        <v>5915.4465814476798</v>
      </c>
      <c r="C55">
        <v>1018728.123712</v>
      </c>
      <c r="D55">
        <v>866784.12371199997</v>
      </c>
      <c r="E55">
        <v>160</v>
      </c>
    </row>
    <row r="56" spans="1:5" x14ac:dyDescent="0.35">
      <c r="A56" s="1" t="s">
        <v>54</v>
      </c>
      <c r="B56">
        <v>5988.4784857344002</v>
      </c>
      <c r="C56">
        <v>1097889.0249600001</v>
      </c>
      <c r="D56">
        <v>885313.02496000007</v>
      </c>
      <c r="E56">
        <v>110</v>
      </c>
    </row>
    <row r="57" spans="1:5" x14ac:dyDescent="0.35">
      <c r="A57" s="1" t="s">
        <v>55</v>
      </c>
      <c r="B57">
        <v>8424.4298363784146</v>
      </c>
      <c r="C57">
        <v>1438963.691776</v>
      </c>
      <c r="D57">
        <v>1253679.1922256649</v>
      </c>
      <c r="E57">
        <v>100</v>
      </c>
    </row>
    <row r="58" spans="1:5" x14ac:dyDescent="0.35">
      <c r="A58" s="1" t="s">
        <v>56</v>
      </c>
      <c r="B58">
        <v>7872.8790178969602</v>
      </c>
      <c r="C58">
        <v>1295176.0448640001</v>
      </c>
      <c r="D58">
        <v>1154048.0448640001</v>
      </c>
      <c r="E58">
        <v>210</v>
      </c>
    </row>
    <row r="59" spans="1:5" x14ac:dyDescent="0.35">
      <c r="A59" s="1" t="s">
        <v>57</v>
      </c>
      <c r="B59">
        <v>3491.9943678786067</v>
      </c>
      <c r="C59">
        <v>723904.90931200003</v>
      </c>
      <c r="D59">
        <v>501806.38070460944</v>
      </c>
      <c r="E59">
        <v>160</v>
      </c>
    </row>
    <row r="60" spans="1:5" x14ac:dyDescent="0.35">
      <c r="A60" s="1" t="s">
        <v>58</v>
      </c>
      <c r="B60">
        <v>6057.1299722598396</v>
      </c>
      <c r="C60">
        <v>1348374.504256</v>
      </c>
      <c r="D60">
        <v>895652.1042559999</v>
      </c>
      <c r="E60">
        <v>110.00000000000001</v>
      </c>
    </row>
    <row r="61" spans="1:5" x14ac:dyDescent="0.35">
      <c r="A61" s="1" t="s">
        <v>59</v>
      </c>
      <c r="B61">
        <v>6881.7534965788336</v>
      </c>
      <c r="C61">
        <v>1453652.2440960002</v>
      </c>
      <c r="D61">
        <v>1013818.2976775352</v>
      </c>
      <c r="E61">
        <v>150</v>
      </c>
    </row>
    <row r="62" spans="1:5" x14ac:dyDescent="0.35">
      <c r="A62" s="1" t="s">
        <v>60</v>
      </c>
      <c r="B62">
        <v>5614.1306536292677</v>
      </c>
      <c r="C62">
        <v>1318042.5689600001</v>
      </c>
      <c r="D62">
        <v>822911.24301645602</v>
      </c>
      <c r="E62">
        <v>150</v>
      </c>
    </row>
    <row r="63" spans="1:5" x14ac:dyDescent="0.35">
      <c r="A63" s="1" t="s">
        <v>61</v>
      </c>
      <c r="B63">
        <v>4905.7987228825596</v>
      </c>
      <c r="C63">
        <v>858403.26790400001</v>
      </c>
      <c r="D63">
        <v>723764.86790399998</v>
      </c>
      <c r="E63">
        <v>100</v>
      </c>
    </row>
    <row r="64" spans="1:5" x14ac:dyDescent="0.35">
      <c r="A64" s="1" t="s">
        <v>62</v>
      </c>
      <c r="B64">
        <v>10129.465353994239</v>
      </c>
      <c r="C64">
        <v>1860005.129216</v>
      </c>
      <c r="D64">
        <v>1502931.5292159999</v>
      </c>
      <c r="E64">
        <v>150</v>
      </c>
    </row>
    <row r="65" spans="1:5" x14ac:dyDescent="0.35">
      <c r="A65" s="1" t="s">
        <v>63</v>
      </c>
      <c r="B65">
        <v>3702.8001151385592</v>
      </c>
      <c r="C65">
        <v>709083.45830400009</v>
      </c>
      <c r="D65">
        <v>535060.2583039999</v>
      </c>
      <c r="E65">
        <v>150</v>
      </c>
    </row>
    <row r="66" spans="1:5" x14ac:dyDescent="0.35">
      <c r="A66" s="1" t="s">
        <v>64</v>
      </c>
      <c r="B66">
        <v>5201.3745817600002</v>
      </c>
      <c r="C66">
        <v>1366374.4640000002</v>
      </c>
      <c r="D66">
        <v>760749.18400000001</v>
      </c>
      <c r="E66">
        <v>150</v>
      </c>
    </row>
    <row r="67" spans="1:5" x14ac:dyDescent="0.35">
      <c r="A67" s="1" t="s">
        <v>65</v>
      </c>
      <c r="B67">
        <v>9029.7928350259208</v>
      </c>
      <c r="C67">
        <v>1516240.318528</v>
      </c>
      <c r="D67">
        <v>1344848.318528</v>
      </c>
      <c r="E67">
        <v>100</v>
      </c>
    </row>
    <row r="68" spans="1:5" x14ac:dyDescent="0.35">
      <c r="A68" s="1" t="s">
        <v>66</v>
      </c>
      <c r="B68">
        <v>7670.6536107520005</v>
      </c>
      <c r="C68">
        <v>1242474.3968000002</v>
      </c>
      <c r="D68">
        <v>1147688.7968000001</v>
      </c>
      <c r="E68">
        <v>50</v>
      </c>
    </row>
    <row r="69" spans="1:5" x14ac:dyDescent="0.35">
      <c r="A69" s="1" t="s">
        <v>67</v>
      </c>
      <c r="B69">
        <v>4877.0419348838395</v>
      </c>
      <c r="C69">
        <v>877607.10585599998</v>
      </c>
      <c r="D69">
        <v>711903.90585599991</v>
      </c>
      <c r="E69">
        <v>150</v>
      </c>
    </row>
    <row r="70" spans="1:5" x14ac:dyDescent="0.35">
      <c r="A70" s="1" t="s">
        <v>68</v>
      </c>
      <c r="B70">
        <v>6150.2809531539397</v>
      </c>
      <c r="C70">
        <v>1531317.280064</v>
      </c>
      <c r="D70">
        <v>894620.62547499093</v>
      </c>
      <c r="E70">
        <v>210</v>
      </c>
    </row>
    <row r="71" spans="1:5" x14ac:dyDescent="0.35">
      <c r="A71" s="1" t="s">
        <v>69</v>
      </c>
      <c r="B71">
        <v>11658.48001455104</v>
      </c>
      <c r="C71">
        <v>2025271.0383359999</v>
      </c>
      <c r="D71">
        <v>1746759.0383359999</v>
      </c>
      <c r="E71">
        <v>59.999999999999993</v>
      </c>
    </row>
    <row r="72" spans="1:5" x14ac:dyDescent="0.35">
      <c r="A72" s="1" t="s">
        <v>70</v>
      </c>
      <c r="B72">
        <v>7166.4815896820164</v>
      </c>
      <c r="C72">
        <v>1255109.5015680001</v>
      </c>
      <c r="D72">
        <v>1079289.3960364482</v>
      </c>
    </row>
    <row r="73" spans="1:5" x14ac:dyDescent="0.35">
      <c r="A73" s="1" t="s">
        <v>71</v>
      </c>
      <c r="B73">
        <v>9173.269873563102</v>
      </c>
      <c r="C73">
        <v>1948535.9920000001</v>
      </c>
      <c r="D73">
        <v>1358926.1857775757</v>
      </c>
      <c r="E73">
        <v>150</v>
      </c>
    </row>
    <row r="74" spans="1:5" x14ac:dyDescent="0.35">
      <c r="A74" s="1" t="s">
        <v>72</v>
      </c>
      <c r="B74">
        <v>4965.1165190963202</v>
      </c>
      <c r="C74">
        <v>889770.40588800004</v>
      </c>
      <c r="D74">
        <v>716132.00588800001</v>
      </c>
      <c r="E74">
        <v>210</v>
      </c>
    </row>
    <row r="75" spans="1:5" x14ac:dyDescent="0.35">
      <c r="A75" s="1" t="s">
        <v>73</v>
      </c>
      <c r="B75">
        <v>8256.4523344245608</v>
      </c>
      <c r="C75">
        <v>1719028.2487039999</v>
      </c>
      <c r="D75">
        <v>1220851.2551844218</v>
      </c>
      <c r="E75">
        <v>150</v>
      </c>
    </row>
    <row r="76" spans="1:5" x14ac:dyDescent="0.35">
      <c r="A76" s="1" t="s">
        <v>74</v>
      </c>
      <c r="B76">
        <v>8847.3730121318404</v>
      </c>
      <c r="C76">
        <v>1736465.709056</v>
      </c>
      <c r="D76">
        <v>1308339.3090560001</v>
      </c>
      <c r="E76">
        <v>160</v>
      </c>
    </row>
    <row r="77" spans="1:5" x14ac:dyDescent="0.35">
      <c r="A77" s="1" t="s">
        <v>75</v>
      </c>
      <c r="B77">
        <v>5711.1096141087382</v>
      </c>
      <c r="C77">
        <v>1754177.9790080001</v>
      </c>
      <c r="D77">
        <v>828480.36357059306</v>
      </c>
      <c r="E77">
        <v>210</v>
      </c>
    </row>
    <row r="78" spans="1:5" x14ac:dyDescent="0.35">
      <c r="A78" s="1" t="s">
        <v>76</v>
      </c>
      <c r="B78">
        <v>6464.0511868683752</v>
      </c>
      <c r="C78">
        <v>1369052.163648</v>
      </c>
      <c r="D78">
        <v>958441.44380547816</v>
      </c>
      <c r="E78">
        <v>100</v>
      </c>
    </row>
    <row r="79" spans="1:5" x14ac:dyDescent="0.35">
      <c r="A79" s="1" t="s">
        <v>77</v>
      </c>
      <c r="B79">
        <v>6564.1848032204807</v>
      </c>
      <c r="C79">
        <v>1048463.6872320001</v>
      </c>
      <c r="D79">
        <v>965991.68723200005</v>
      </c>
      <c r="E79">
        <v>150</v>
      </c>
    </row>
    <row r="80" spans="1:5" x14ac:dyDescent="0.35">
      <c r="A80" s="1" t="s">
        <v>78</v>
      </c>
      <c r="B80">
        <v>10747.739755484159</v>
      </c>
      <c r="C80">
        <v>1937208.305344</v>
      </c>
      <c r="D80">
        <v>1618635.5053439999</v>
      </c>
    </row>
    <row r="81" spans="1:5" x14ac:dyDescent="0.35">
      <c r="A81" s="1" t="s">
        <v>79</v>
      </c>
      <c r="B81">
        <v>10179.160044247041</v>
      </c>
      <c r="C81">
        <v>2479218.7247359999</v>
      </c>
      <c r="D81">
        <v>1501379.524736</v>
      </c>
      <c r="E81">
        <v>210</v>
      </c>
    </row>
    <row r="82" spans="1:5" x14ac:dyDescent="0.35">
      <c r="A82" s="1" t="s">
        <v>80</v>
      </c>
      <c r="B82">
        <v>6587.9498856704004</v>
      </c>
      <c r="C82">
        <v>1074591.5273600002</v>
      </c>
      <c r="D82">
        <v>992161.12736000004</v>
      </c>
    </row>
    <row r="83" spans="1:5" x14ac:dyDescent="0.35">
      <c r="A83" s="1" t="s">
        <v>81</v>
      </c>
      <c r="B83">
        <v>8475.73729805312</v>
      </c>
      <c r="C83">
        <v>1699466.0750080002</v>
      </c>
      <c r="D83">
        <v>1252370.075008</v>
      </c>
      <c r="E83">
        <v>160</v>
      </c>
    </row>
    <row r="84" spans="1:5" x14ac:dyDescent="0.35">
      <c r="A84" s="1" t="s">
        <v>82</v>
      </c>
      <c r="B84">
        <v>8418.5297229363223</v>
      </c>
      <c r="C84">
        <v>1367025.2618880002</v>
      </c>
      <c r="D84">
        <v>1267850.8618880003</v>
      </c>
    </row>
    <row r="85" spans="1:5" x14ac:dyDescent="0.35">
      <c r="A85" s="1" t="s">
        <v>83</v>
      </c>
      <c r="B85">
        <v>6265.4377965823996</v>
      </c>
      <c r="C85">
        <v>1018458.06816</v>
      </c>
      <c r="D85">
        <v>920999.66816</v>
      </c>
      <c r="E85">
        <v>150</v>
      </c>
    </row>
    <row r="86" spans="1:5" x14ac:dyDescent="0.35">
      <c r="A86" s="1" t="s">
        <v>84</v>
      </c>
      <c r="B86">
        <v>5113.8572121292809</v>
      </c>
      <c r="C86">
        <v>911006.83315200009</v>
      </c>
      <c r="D86">
        <v>746062.83315200009</v>
      </c>
      <c r="E86">
        <v>160</v>
      </c>
    </row>
    <row r="87" spans="1:5" x14ac:dyDescent="0.35">
      <c r="A87" s="1" t="s">
        <v>85</v>
      </c>
      <c r="B87">
        <v>10304.1062250496</v>
      </c>
      <c r="C87">
        <v>2011492.7206400002</v>
      </c>
      <c r="D87">
        <v>1520196.72064</v>
      </c>
      <c r="E87">
        <v>210</v>
      </c>
    </row>
    <row r="88" spans="1:5" x14ac:dyDescent="0.35">
      <c r="A88" s="1" t="s">
        <v>86</v>
      </c>
      <c r="B88">
        <v>5951.1043966788329</v>
      </c>
      <c r="C88">
        <v>1390559.777984</v>
      </c>
      <c r="D88">
        <v>881190.42118657124</v>
      </c>
      <c r="E88">
        <v>100</v>
      </c>
    </row>
    <row r="89" spans="1:5" x14ac:dyDescent="0.35">
      <c r="A89" s="1" t="s">
        <v>87</v>
      </c>
      <c r="B89">
        <v>3357.8467631293256</v>
      </c>
      <c r="C89">
        <v>1001787.52128</v>
      </c>
      <c r="D89">
        <v>483109.45227851288</v>
      </c>
      <c r="E89">
        <v>150</v>
      </c>
    </row>
    <row r="90" spans="1:5" x14ac:dyDescent="0.35">
      <c r="A90" s="1" t="s">
        <v>88</v>
      </c>
      <c r="B90">
        <v>5909.7056780707417</v>
      </c>
      <c r="C90">
        <v>1887632.601088</v>
      </c>
      <c r="D90">
        <v>890015.91537209961</v>
      </c>
    </row>
    <row r="91" spans="1:5" x14ac:dyDescent="0.35">
      <c r="A91" s="1" t="s">
        <v>89</v>
      </c>
      <c r="B91">
        <v>6034.8421278464002</v>
      </c>
      <c r="C91">
        <v>935547.64575999998</v>
      </c>
      <c r="D91">
        <v>901331.64575999998</v>
      </c>
      <c r="E91">
        <v>49.999999999999986</v>
      </c>
    </row>
    <row r="92" spans="1:5" x14ac:dyDescent="0.35">
      <c r="A92" s="1" t="s">
        <v>90</v>
      </c>
      <c r="B92">
        <v>7951.7718927360002</v>
      </c>
      <c r="C92">
        <v>1920720.4224</v>
      </c>
      <c r="D92">
        <v>1173459.6224</v>
      </c>
      <c r="E92">
        <v>160</v>
      </c>
    </row>
    <row r="93" spans="1:5" x14ac:dyDescent="0.35">
      <c r="A93" s="1" t="s">
        <v>91</v>
      </c>
      <c r="B93">
        <v>6115.3450670387201</v>
      </c>
      <c r="C93">
        <v>1649450.5780480001</v>
      </c>
      <c r="D93">
        <v>845684.49804800004</v>
      </c>
      <c r="E93">
        <v>500</v>
      </c>
    </row>
    <row r="94" spans="1:5" x14ac:dyDescent="0.35">
      <c r="A94" s="1" t="s">
        <v>92</v>
      </c>
      <c r="B94">
        <v>5941.3651438918996</v>
      </c>
      <c r="C94">
        <v>1128470.7682560002</v>
      </c>
      <c r="D94">
        <v>885747.76263432228</v>
      </c>
      <c r="E94">
        <v>59.999999999999986</v>
      </c>
    </row>
    <row r="95" spans="1:5" x14ac:dyDescent="0.35">
      <c r="A95" s="1" t="s">
        <v>93</v>
      </c>
      <c r="B95">
        <v>4768.92942344313</v>
      </c>
      <c r="C95">
        <v>1633644.1455360001</v>
      </c>
      <c r="D95">
        <v>686585.75654264004</v>
      </c>
      <c r="E95">
        <v>210</v>
      </c>
    </row>
    <row r="96" spans="1:5" x14ac:dyDescent="0.35">
      <c r="A96" s="1" t="s">
        <v>94</v>
      </c>
      <c r="B96">
        <v>6625.5660912793601</v>
      </c>
      <c r="C96">
        <v>1186680.233024</v>
      </c>
      <c r="D96">
        <v>973729.83302400005</v>
      </c>
      <c r="E96">
        <v>160</v>
      </c>
    </row>
    <row r="97" spans="1:5" x14ac:dyDescent="0.35">
      <c r="A97" s="1" t="s">
        <v>95</v>
      </c>
      <c r="B97">
        <v>3892.7445866035205</v>
      </c>
      <c r="C97">
        <v>895425.31436800002</v>
      </c>
      <c r="D97">
        <v>578726.59436800005</v>
      </c>
      <c r="E97">
        <v>50</v>
      </c>
    </row>
    <row r="98" spans="1:5" x14ac:dyDescent="0.35">
      <c r="A98" s="1" t="s">
        <v>96</v>
      </c>
      <c r="B98">
        <v>7353.5863851827198</v>
      </c>
      <c r="C98">
        <v>1163501.467648</v>
      </c>
      <c r="D98">
        <v>1084877.467648</v>
      </c>
      <c r="E98">
        <v>150</v>
      </c>
    </row>
    <row r="99" spans="1:5" x14ac:dyDescent="0.35">
      <c r="A99" s="1" t="s">
        <v>97</v>
      </c>
      <c r="B99">
        <v>5798.9988409266798</v>
      </c>
      <c r="C99">
        <v>1084334.4162560001</v>
      </c>
      <c r="D99">
        <v>858282.95797088556</v>
      </c>
      <c r="E99">
        <v>100</v>
      </c>
    </row>
    <row r="100" spans="1:5" x14ac:dyDescent="0.35">
      <c r="A100" s="1" t="s">
        <v>98</v>
      </c>
      <c r="B100">
        <v>5617.5493662566405</v>
      </c>
      <c r="C100">
        <v>1372057.309376</v>
      </c>
      <c r="D100">
        <v>823426.10937600001</v>
      </c>
      <c r="E100">
        <v>150</v>
      </c>
    </row>
    <row r="101" spans="1:5" x14ac:dyDescent="0.35">
      <c r="A101" s="1" t="s">
        <v>99</v>
      </c>
      <c r="B101">
        <v>10332.651916267519</v>
      </c>
      <c r="C101">
        <v>2317122.9319679998</v>
      </c>
      <c r="D101">
        <v>1547086.131968</v>
      </c>
      <c r="E101">
        <v>60</v>
      </c>
    </row>
    <row r="102" spans="1:5" x14ac:dyDescent="0.35">
      <c r="A102" s="1" t="s">
        <v>100</v>
      </c>
      <c r="B102">
        <v>6054.8001554271113</v>
      </c>
      <c r="C102">
        <v>1453450.4824320001</v>
      </c>
      <c r="D102">
        <v>889277.13184143242</v>
      </c>
      <c r="E102">
        <v>150</v>
      </c>
    </row>
    <row r="103" spans="1:5" x14ac:dyDescent="0.35">
      <c r="A103" s="1" t="s">
        <v>101</v>
      </c>
      <c r="B103">
        <v>3483.3042216920062</v>
      </c>
      <c r="C103">
        <v>1056638.5290239998</v>
      </c>
      <c r="D103">
        <v>515557.86471265153</v>
      </c>
      <c r="E103">
        <v>60</v>
      </c>
    </row>
    <row r="104" spans="1:5" x14ac:dyDescent="0.35">
      <c r="A104" s="1" t="s">
        <v>102</v>
      </c>
      <c r="B104">
        <v>6851.1849033932795</v>
      </c>
      <c r="C104">
        <v>1490186.4107519998</v>
      </c>
      <c r="D104">
        <v>1022768.810752</v>
      </c>
      <c r="E104">
        <v>60</v>
      </c>
    </row>
    <row r="105" spans="1:5" x14ac:dyDescent="0.35">
      <c r="A105" s="1" t="s">
        <v>103</v>
      </c>
      <c r="B105">
        <v>7369.9041853951985</v>
      </c>
      <c r="C105">
        <v>1332182.16768</v>
      </c>
      <c r="D105">
        <v>1087334.9676799998</v>
      </c>
      <c r="E105">
        <v>150</v>
      </c>
    </row>
    <row r="106" spans="1:5" x14ac:dyDescent="0.35">
      <c r="A106" s="1" t="s">
        <v>104</v>
      </c>
      <c r="B106">
        <v>7016.3718080094914</v>
      </c>
      <c r="C106">
        <v>1585649.5740799997</v>
      </c>
      <c r="D106">
        <v>1040116.2361460077</v>
      </c>
      <c r="E106">
        <v>109.99999999999999</v>
      </c>
    </row>
    <row r="107" spans="1:5" x14ac:dyDescent="0.35">
      <c r="A107" s="1" t="s">
        <v>105</v>
      </c>
      <c r="B107">
        <v>3273.0569028376458</v>
      </c>
      <c r="C107">
        <v>744852.09427200002</v>
      </c>
      <c r="D107">
        <v>485400.13596952497</v>
      </c>
      <c r="E107">
        <v>50</v>
      </c>
    </row>
    <row r="108" spans="1:5" x14ac:dyDescent="0.35">
      <c r="A108" s="1" t="s">
        <v>106</v>
      </c>
      <c r="B108">
        <v>5111.5142850916982</v>
      </c>
      <c r="C108">
        <v>1387531.7788800001</v>
      </c>
      <c r="D108">
        <v>762276.24775477382</v>
      </c>
      <c r="E108">
        <v>49.999999999999986</v>
      </c>
    </row>
    <row r="109" spans="1:5" x14ac:dyDescent="0.35">
      <c r="A109" s="1" t="s">
        <v>107</v>
      </c>
      <c r="B109">
        <v>5167.4813003870204</v>
      </c>
      <c r="C109">
        <v>1138206.6392319999</v>
      </c>
      <c r="D109">
        <v>770705.01511852723</v>
      </c>
      <c r="E109">
        <v>50</v>
      </c>
    </row>
    <row r="110" spans="1:5" x14ac:dyDescent="0.35">
      <c r="A110" s="1" t="s">
        <v>108</v>
      </c>
      <c r="B110">
        <v>4425.1990120447999</v>
      </c>
      <c r="C110">
        <v>878012.72831999999</v>
      </c>
      <c r="D110">
        <v>634819.12832000002</v>
      </c>
      <c r="E110">
        <v>210</v>
      </c>
    </row>
    <row r="111" spans="1:5" x14ac:dyDescent="0.35">
      <c r="A111" s="1" t="s">
        <v>109</v>
      </c>
      <c r="B111">
        <v>5237.5889481779204</v>
      </c>
      <c r="C111">
        <v>1009376.475328</v>
      </c>
      <c r="D111">
        <v>773733.27532800008</v>
      </c>
      <c r="E111">
        <v>100</v>
      </c>
    </row>
    <row r="112" spans="1:5" x14ac:dyDescent="0.35">
      <c r="A112" s="1" t="s">
        <v>110</v>
      </c>
      <c r="B112">
        <v>8372.3366240819196</v>
      </c>
      <c r="C112">
        <v>1312789.028928</v>
      </c>
      <c r="D112">
        <v>1245833.8289280001</v>
      </c>
      <c r="E112">
        <v>100</v>
      </c>
    </row>
    <row r="113" spans="1:5" x14ac:dyDescent="0.35">
      <c r="A113" s="1" t="s">
        <v>111</v>
      </c>
      <c r="B113">
        <v>12567.216183475201</v>
      </c>
      <c r="C113">
        <v>2210789.0396800004</v>
      </c>
      <c r="D113">
        <v>1892653.0396799999</v>
      </c>
    </row>
    <row r="114" spans="1:5" x14ac:dyDescent="0.35">
      <c r="A114" s="1" t="s">
        <v>112</v>
      </c>
      <c r="B114">
        <v>4605.1454319297218</v>
      </c>
      <c r="C114">
        <v>1051255.342592</v>
      </c>
      <c r="D114">
        <v>669449.61324242793</v>
      </c>
      <c r="E114">
        <v>160</v>
      </c>
    </row>
    <row r="115" spans="1:5" x14ac:dyDescent="0.35">
      <c r="A115" s="1" t="s">
        <v>113</v>
      </c>
      <c r="B115">
        <v>7060.5668436377591</v>
      </c>
      <c r="C115">
        <v>1175418.659584</v>
      </c>
      <c r="D115">
        <v>1055808.2595839999</v>
      </c>
      <c r="E115">
        <v>50</v>
      </c>
    </row>
    <row r="116" spans="1:5" x14ac:dyDescent="0.35">
      <c r="A116" s="1" t="s">
        <v>114</v>
      </c>
      <c r="B116">
        <v>10482.863929962503</v>
      </c>
      <c r="C116">
        <v>2093404.634048</v>
      </c>
      <c r="D116">
        <v>1563684.3268015818</v>
      </c>
      <c r="E116">
        <v>100</v>
      </c>
    </row>
    <row r="117" spans="1:5" x14ac:dyDescent="0.35">
      <c r="A117" s="1" t="s">
        <v>115</v>
      </c>
      <c r="B117">
        <v>6413.9932570009605</v>
      </c>
      <c r="C117">
        <v>1021518.078464</v>
      </c>
      <c r="D117">
        <v>943372.47846400004</v>
      </c>
      <c r="E117">
        <v>150</v>
      </c>
    </row>
    <row r="118" spans="1:5" x14ac:dyDescent="0.35">
      <c r="A118" s="1" t="s">
        <v>116</v>
      </c>
      <c r="B118">
        <v>11911.43424185344</v>
      </c>
      <c r="C118">
        <v>2072310.5544960003</v>
      </c>
      <c r="D118">
        <v>1784854.5544960001</v>
      </c>
      <c r="E118">
        <v>59.999999999999993</v>
      </c>
    </row>
    <row r="119" spans="1:5" x14ac:dyDescent="0.35">
      <c r="A119" s="1" t="s">
        <v>117</v>
      </c>
      <c r="B119">
        <v>6859.0072888268787</v>
      </c>
      <c r="C119">
        <v>1389523.5169919999</v>
      </c>
      <c r="D119">
        <v>963705.91699199984</v>
      </c>
      <c r="E119">
        <v>460</v>
      </c>
    </row>
    <row r="120" spans="1:5" x14ac:dyDescent="0.35">
      <c r="A120" s="1" t="s">
        <v>118</v>
      </c>
      <c r="B120">
        <v>10684.203499320321</v>
      </c>
      <c r="C120">
        <v>1860363.4474880002</v>
      </c>
      <c r="D120">
        <v>1600030.6474880001</v>
      </c>
      <c r="E120">
        <v>59.999999999999986</v>
      </c>
    </row>
    <row r="121" spans="1:5" x14ac:dyDescent="0.35">
      <c r="A121" s="1" t="s">
        <v>119</v>
      </c>
      <c r="B121">
        <v>4286.2944812447267</v>
      </c>
      <c r="C121">
        <v>1589879.914688</v>
      </c>
      <c r="D121">
        <v>621429.89175372384</v>
      </c>
      <c r="E121">
        <v>160</v>
      </c>
    </row>
    <row r="122" spans="1:5" x14ac:dyDescent="0.35">
      <c r="A122" s="1" t="s">
        <v>120</v>
      </c>
      <c r="B122">
        <v>4503.4875712255989</v>
      </c>
      <c r="C122">
        <v>800996.63904000004</v>
      </c>
      <c r="D122">
        <v>663175.83903999988</v>
      </c>
      <c r="E122">
        <v>100</v>
      </c>
    </row>
    <row r="123" spans="1:5" x14ac:dyDescent="0.35">
      <c r="A123" s="1" t="s">
        <v>121</v>
      </c>
      <c r="B123">
        <v>3663.5447013133175</v>
      </c>
      <c r="C123">
        <v>815847.97632000002</v>
      </c>
      <c r="D123">
        <v>551738.65983634302</v>
      </c>
    </row>
    <row r="124" spans="1:5" x14ac:dyDescent="0.35">
      <c r="A124" s="1" t="s">
        <v>122</v>
      </c>
      <c r="B124">
        <v>5406.5378110617594</v>
      </c>
      <c r="C124">
        <v>987604.58118400001</v>
      </c>
      <c r="D124">
        <v>799177.38118399994</v>
      </c>
      <c r="E124">
        <v>100</v>
      </c>
    </row>
    <row r="125" spans="1:5" x14ac:dyDescent="0.35">
      <c r="A125" s="1" t="s">
        <v>123</v>
      </c>
      <c r="B125">
        <v>6351.0863259852804</v>
      </c>
      <c r="C125">
        <v>1079623.8635520001</v>
      </c>
      <c r="D125">
        <v>941428.66355200007</v>
      </c>
      <c r="E125">
        <v>100</v>
      </c>
    </row>
    <row r="126" spans="1:5" x14ac:dyDescent="0.35">
      <c r="A126" s="1" t="s">
        <v>124</v>
      </c>
      <c r="B126">
        <v>10071.821679799114</v>
      </c>
      <c r="C126">
        <v>2019887.5881599998</v>
      </c>
      <c r="D126">
        <v>1494250.2529817943</v>
      </c>
      <c r="E126">
        <v>150</v>
      </c>
    </row>
    <row r="127" spans="1:5" x14ac:dyDescent="0.35">
      <c r="A127" s="1" t="s">
        <v>125</v>
      </c>
      <c r="B127">
        <v>6755.2322435174401</v>
      </c>
      <c r="C127">
        <v>1140207.892096</v>
      </c>
      <c r="D127">
        <v>994763.89209600003</v>
      </c>
      <c r="E127">
        <v>150</v>
      </c>
    </row>
    <row r="128" spans="1:5" x14ac:dyDescent="0.35">
      <c r="A128" s="1" t="s">
        <v>126</v>
      </c>
      <c r="B128">
        <v>10236.107441541155</v>
      </c>
      <c r="C128">
        <v>1953665.177984</v>
      </c>
      <c r="D128">
        <v>1518992.0845694509</v>
      </c>
      <c r="E128">
        <v>150</v>
      </c>
    </row>
    <row r="129" spans="1:5" x14ac:dyDescent="0.35">
      <c r="A129" s="1" t="s">
        <v>127</v>
      </c>
      <c r="B129">
        <v>3828.68370882309</v>
      </c>
      <c r="C129">
        <v>888974.108672</v>
      </c>
      <c r="D129">
        <v>569078.87181070633</v>
      </c>
      <c r="E129">
        <v>50</v>
      </c>
    </row>
    <row r="130" spans="1:5" x14ac:dyDescent="0.35">
      <c r="A130" s="1" t="s">
        <v>128</v>
      </c>
      <c r="B130">
        <v>5431.5812330333574</v>
      </c>
      <c r="C130">
        <v>1279948.2941440002</v>
      </c>
      <c r="D130">
        <v>802948.98087851761</v>
      </c>
      <c r="E130">
        <v>100</v>
      </c>
    </row>
    <row r="131" spans="1:5" x14ac:dyDescent="0.35">
      <c r="A131" s="1" t="s">
        <v>129</v>
      </c>
      <c r="B131">
        <v>4199.1191541254566</v>
      </c>
      <c r="C131">
        <v>853563.45568000001</v>
      </c>
      <c r="D131">
        <v>632397.46297070128</v>
      </c>
    </row>
    <row r="132" spans="1:5" x14ac:dyDescent="0.35">
      <c r="A132" s="1" t="s">
        <v>130</v>
      </c>
      <c r="B132">
        <v>8053.3208865587194</v>
      </c>
      <c r="C132">
        <v>1521304.066048</v>
      </c>
      <c r="D132">
        <v>1196283.266048</v>
      </c>
      <c r="E132">
        <v>110</v>
      </c>
    </row>
    <row r="133" spans="1:5" x14ac:dyDescent="0.35">
      <c r="A133" s="1" t="s">
        <v>131</v>
      </c>
      <c r="B133">
        <v>5272.5471432755203</v>
      </c>
      <c r="C133">
        <v>1681937.9191680001</v>
      </c>
      <c r="D133">
        <v>769961.91916799999</v>
      </c>
      <c r="E133">
        <v>160</v>
      </c>
    </row>
    <row r="134" spans="1:5" x14ac:dyDescent="0.35">
      <c r="A134" s="1" t="s">
        <v>132</v>
      </c>
      <c r="B134">
        <v>2778.6128231947409</v>
      </c>
      <c r="C134">
        <v>852584.14009599993</v>
      </c>
      <c r="D134">
        <v>394369.40108354535</v>
      </c>
      <c r="E134">
        <v>160</v>
      </c>
    </row>
    <row r="135" spans="1:5" x14ac:dyDescent="0.35">
      <c r="A135" s="1" t="s">
        <v>133</v>
      </c>
      <c r="B135">
        <v>8807.6486341990403</v>
      </c>
      <c r="C135">
        <v>1804530.6015360001</v>
      </c>
      <c r="D135">
        <v>1294826.6015360001</v>
      </c>
      <c r="E135">
        <v>210</v>
      </c>
    </row>
    <row r="136" spans="1:5" x14ac:dyDescent="0.35">
      <c r="A136" s="1" t="s">
        <v>134</v>
      </c>
      <c r="B136">
        <v>7078.7120539289517</v>
      </c>
      <c r="C136">
        <v>1223131.836992</v>
      </c>
      <c r="D136">
        <v>1058540.9719772518</v>
      </c>
      <c r="E136">
        <v>50</v>
      </c>
    </row>
    <row r="137" spans="1:5" x14ac:dyDescent="0.35">
      <c r="A137" s="1" t="s">
        <v>135</v>
      </c>
      <c r="B137">
        <v>5438.8281826137827</v>
      </c>
      <c r="C137">
        <v>1471019.955392</v>
      </c>
      <c r="D137">
        <v>802534.36485147325</v>
      </c>
      <c r="E137">
        <v>110</v>
      </c>
    </row>
    <row r="138" spans="1:5" x14ac:dyDescent="0.35">
      <c r="A138" s="1" t="s">
        <v>136</v>
      </c>
      <c r="B138">
        <v>10046.120515942401</v>
      </c>
      <c r="C138">
        <v>1662751.6921600001</v>
      </c>
      <c r="D138">
        <v>1496403.6921600001</v>
      </c>
      <c r="E138">
        <v>109.99999999999999</v>
      </c>
    </row>
    <row r="139" spans="1:5" x14ac:dyDescent="0.35">
      <c r="A139" s="1" t="s">
        <v>137</v>
      </c>
      <c r="B139">
        <v>4112.4229069305893</v>
      </c>
      <c r="C139">
        <v>920332.65376000013</v>
      </c>
      <c r="D139">
        <v>596750.43779075146</v>
      </c>
      <c r="E139">
        <v>150</v>
      </c>
    </row>
    <row r="140" spans="1:5" x14ac:dyDescent="0.35">
      <c r="A140" s="1" t="s">
        <v>138</v>
      </c>
      <c r="B140">
        <v>10059.166115415041</v>
      </c>
      <c r="C140">
        <v>1553830.6559360002</v>
      </c>
      <c r="D140">
        <v>1514934.6559360002</v>
      </c>
    </row>
    <row r="141" spans="1:5" x14ac:dyDescent="0.35">
      <c r="A141" s="1" t="s">
        <v>139</v>
      </c>
      <c r="B141">
        <v>7508.4637755648009</v>
      </c>
      <c r="C141">
        <v>1249913.2963200002</v>
      </c>
      <c r="D141">
        <v>1115732.4963200002</v>
      </c>
      <c r="E141">
        <v>100</v>
      </c>
    </row>
    <row r="142" spans="1:5" x14ac:dyDescent="0.35">
      <c r="A142" s="1" t="s">
        <v>140</v>
      </c>
      <c r="B142">
        <v>8810.5139516313611</v>
      </c>
      <c r="C142">
        <v>1418299.0698239999</v>
      </c>
      <c r="D142">
        <v>1304294.2698240001</v>
      </c>
      <c r="E142">
        <v>150</v>
      </c>
    </row>
    <row r="143" spans="1:5" x14ac:dyDescent="0.35">
      <c r="A143" s="1" t="s">
        <v>141</v>
      </c>
      <c r="B143">
        <v>8893.1642331263738</v>
      </c>
      <c r="C143">
        <v>1767259.0249600001</v>
      </c>
      <c r="D143">
        <v>1315235.5772780683</v>
      </c>
      <c r="E143">
        <v>160</v>
      </c>
    </row>
    <row r="144" spans="1:5" x14ac:dyDescent="0.35">
      <c r="A144" s="1" t="s">
        <v>142</v>
      </c>
      <c r="B144">
        <v>4907.5705843210289</v>
      </c>
      <c r="C144">
        <v>1384965.5905280001</v>
      </c>
      <c r="D144">
        <v>724031.71450617909</v>
      </c>
      <c r="E144">
        <v>100</v>
      </c>
    </row>
    <row r="145" spans="1:5" x14ac:dyDescent="0.35">
      <c r="A145" s="1" t="s">
        <v>143</v>
      </c>
      <c r="B145">
        <v>9725.729626774837</v>
      </c>
      <c r="C145">
        <v>2302732.6632960001</v>
      </c>
      <c r="D145">
        <v>1457188.1968034394</v>
      </c>
      <c r="E145">
        <v>50</v>
      </c>
    </row>
    <row r="146" spans="1:5" x14ac:dyDescent="0.35">
      <c r="A146" s="1" t="s">
        <v>144</v>
      </c>
      <c r="B146">
        <v>5120.6231765346311</v>
      </c>
      <c r="C146">
        <v>888391.44160000002</v>
      </c>
      <c r="D146">
        <v>763648.0687552155</v>
      </c>
      <c r="E146">
        <v>50</v>
      </c>
    </row>
    <row r="147" spans="1:5" x14ac:dyDescent="0.35">
      <c r="A147" s="1" t="s">
        <v>145</v>
      </c>
      <c r="B147">
        <v>7624.5169000294391</v>
      </c>
      <c r="C147">
        <v>1221311.272896</v>
      </c>
      <c r="D147">
        <v>1139234.4728959999</v>
      </c>
      <c r="E147">
        <v>60</v>
      </c>
    </row>
    <row r="148" spans="1:5" x14ac:dyDescent="0.35">
      <c r="A148" s="1" t="s">
        <v>146</v>
      </c>
      <c r="B148">
        <v>5771.9070167603204</v>
      </c>
      <c r="C148">
        <v>1070202.023488</v>
      </c>
      <c r="D148">
        <v>846672.74348800001</v>
      </c>
      <c r="E148">
        <v>150</v>
      </c>
    </row>
    <row r="149" spans="1:5" x14ac:dyDescent="0.35">
      <c r="A149" s="1" t="s">
        <v>147</v>
      </c>
      <c r="B149">
        <v>4867.0929590963533</v>
      </c>
      <c r="C149">
        <v>1599265.3580800002</v>
      </c>
      <c r="D149">
        <v>701369.42155065562</v>
      </c>
      <c r="E149">
        <v>210</v>
      </c>
    </row>
    <row r="150" spans="1:5" x14ac:dyDescent="0.35">
      <c r="A150" s="1" t="s">
        <v>148</v>
      </c>
      <c r="B150">
        <v>8024.6437016012796</v>
      </c>
      <c r="C150">
        <v>1249402.6779519999</v>
      </c>
      <c r="D150">
        <v>1208530.6779519999</v>
      </c>
    </row>
    <row r="151" spans="1:5" x14ac:dyDescent="0.35">
      <c r="A151" s="1" t="s">
        <v>149</v>
      </c>
      <c r="B151">
        <v>7744.8750226453876</v>
      </c>
      <c r="C151">
        <v>1814288.6336640001</v>
      </c>
      <c r="D151">
        <v>1157360.6961815343</v>
      </c>
      <c r="E151">
        <v>60</v>
      </c>
    </row>
    <row r="152" spans="1:5" x14ac:dyDescent="0.35">
      <c r="A152" s="1" t="s">
        <v>150</v>
      </c>
      <c r="B152">
        <v>9761.2781401856009</v>
      </c>
      <c r="C152">
        <v>2599491.10304</v>
      </c>
      <c r="D152">
        <v>1438445.5030400001</v>
      </c>
      <c r="E152">
        <v>210</v>
      </c>
    </row>
    <row r="153" spans="1:5" x14ac:dyDescent="0.35">
      <c r="A153" s="1" t="s">
        <v>151</v>
      </c>
      <c r="B153">
        <v>5823.5073551001606</v>
      </c>
      <c r="C153">
        <v>1248604.9197440001</v>
      </c>
      <c r="D153">
        <v>869504.11974400003</v>
      </c>
      <c r="E153">
        <v>50</v>
      </c>
    </row>
    <row r="154" spans="1:5" x14ac:dyDescent="0.35">
      <c r="A154" s="1" t="s">
        <v>152</v>
      </c>
      <c r="B154">
        <v>7278.2302435328002</v>
      </c>
      <c r="C154">
        <v>1354799.1475200001</v>
      </c>
      <c r="D154">
        <v>1079552.74752</v>
      </c>
      <c r="E154">
        <v>110</v>
      </c>
    </row>
    <row r="155" spans="1:5" x14ac:dyDescent="0.35">
      <c r="A155" s="1" t="s">
        <v>153</v>
      </c>
      <c r="B155">
        <v>9348.7024668262402</v>
      </c>
      <c r="C155">
        <v>1925575.7980160001</v>
      </c>
      <c r="D155">
        <v>1400406.998016</v>
      </c>
      <c r="E155">
        <v>50</v>
      </c>
    </row>
    <row r="156" spans="1:5" x14ac:dyDescent="0.35">
      <c r="A156" s="1" t="s">
        <v>154</v>
      </c>
      <c r="B156">
        <v>8006.6175987763199</v>
      </c>
      <c r="C156">
        <v>1400930.717888</v>
      </c>
      <c r="D156">
        <v>1181719.517888</v>
      </c>
      <c r="E156">
        <v>160</v>
      </c>
    </row>
    <row r="157" spans="1:5" x14ac:dyDescent="0.35">
      <c r="A157" s="1" t="s">
        <v>155</v>
      </c>
      <c r="B157">
        <v>5655.3749014261193</v>
      </c>
      <c r="C157">
        <v>1486435.2056320002</v>
      </c>
      <c r="D157">
        <v>842676.94298586133</v>
      </c>
      <c r="E157">
        <v>59.999999999999986</v>
      </c>
    </row>
    <row r="158" spans="1:5" x14ac:dyDescent="0.35">
      <c r="A158" s="1" t="s">
        <v>156</v>
      </c>
      <c r="B158">
        <v>4648.1729622895145</v>
      </c>
      <c r="C158">
        <v>1105046.9589120001</v>
      </c>
      <c r="D158">
        <v>684965.80757372209</v>
      </c>
      <c r="E158">
        <v>100</v>
      </c>
    </row>
    <row r="159" spans="1:5" x14ac:dyDescent="0.35">
      <c r="A159" s="1" t="s">
        <v>157</v>
      </c>
      <c r="B159">
        <v>6692.1324354609696</v>
      </c>
      <c r="C159">
        <v>1456546.35776</v>
      </c>
      <c r="D159">
        <v>976224.76437665208</v>
      </c>
      <c r="E159">
        <v>210</v>
      </c>
    </row>
    <row r="160" spans="1:5" x14ac:dyDescent="0.35">
      <c r="A160" s="1" t="s">
        <v>158</v>
      </c>
      <c r="B160">
        <v>3568.6083816347123</v>
      </c>
      <c r="C160">
        <v>1202066.766784</v>
      </c>
      <c r="D160">
        <v>528404.87675221567</v>
      </c>
      <c r="E160">
        <v>60</v>
      </c>
    </row>
    <row r="161" spans="1:5" x14ac:dyDescent="0.35">
      <c r="A161" s="1" t="s">
        <v>159</v>
      </c>
      <c r="B161">
        <v>5762.9645813085936</v>
      </c>
      <c r="C161">
        <v>1560400.8709120001</v>
      </c>
      <c r="D161">
        <v>845325.99116093281</v>
      </c>
      <c r="E161">
        <v>150</v>
      </c>
    </row>
    <row r="162" spans="1:5" x14ac:dyDescent="0.35">
      <c r="A162" s="1" t="s">
        <v>160</v>
      </c>
      <c r="B162">
        <v>6304.6828593104574</v>
      </c>
      <c r="C162">
        <v>1237311.9907200001</v>
      </c>
      <c r="D162">
        <v>932934.16555880383</v>
      </c>
      <c r="E162">
        <v>110</v>
      </c>
    </row>
    <row r="163" spans="1:5" x14ac:dyDescent="0.35">
      <c r="A163" s="1" t="s">
        <v>161</v>
      </c>
      <c r="B163">
        <v>5669.4855101132807</v>
      </c>
      <c r="C163">
        <v>937068.85875200003</v>
      </c>
      <c r="D163">
        <v>846308.0587520001</v>
      </c>
      <c r="E163">
        <v>50</v>
      </c>
    </row>
    <row r="164" spans="1:5" x14ac:dyDescent="0.35">
      <c r="A164" s="1" t="s">
        <v>162</v>
      </c>
      <c r="B164">
        <v>9043.4030314700813</v>
      </c>
      <c r="C164">
        <v>1781660.687872</v>
      </c>
      <c r="D164">
        <v>1361958.2878720001</v>
      </c>
    </row>
    <row r="165" spans="1:5" x14ac:dyDescent="0.35">
      <c r="A165" s="1" t="s">
        <v>163</v>
      </c>
      <c r="B165">
        <v>10832.72918535168</v>
      </c>
      <c r="C165">
        <v>1668478.8773119999</v>
      </c>
      <c r="D165">
        <v>1616374.8773119999</v>
      </c>
      <c r="E165">
        <v>100</v>
      </c>
    </row>
    <row r="166" spans="1:5" x14ac:dyDescent="0.35">
      <c r="A166" s="1" t="s">
        <v>164</v>
      </c>
      <c r="B166">
        <v>8207.8753300475437</v>
      </c>
      <c r="C166">
        <v>1638398.5396480002</v>
      </c>
      <c r="D166">
        <v>1227089.6581396903</v>
      </c>
      <c r="E166">
        <v>59.999999999999986</v>
      </c>
    </row>
    <row r="167" spans="1:5" x14ac:dyDescent="0.35">
      <c r="A167" s="1" t="s">
        <v>165</v>
      </c>
      <c r="B167">
        <v>7958.8108213452788</v>
      </c>
      <c r="C167">
        <v>1439363.6075519999</v>
      </c>
      <c r="D167">
        <v>1198616.0875519998</v>
      </c>
    </row>
    <row r="168" spans="1:5" x14ac:dyDescent="0.35">
      <c r="A168" s="1" t="s">
        <v>166</v>
      </c>
      <c r="B168">
        <v>8620.2782287052796</v>
      </c>
      <c r="C168">
        <v>1582797.9115520001</v>
      </c>
      <c r="D168">
        <v>1275644.311552</v>
      </c>
      <c r="E168">
        <v>150</v>
      </c>
    </row>
    <row r="169" spans="1:5" x14ac:dyDescent="0.35">
      <c r="A169" s="1" t="s">
        <v>167</v>
      </c>
      <c r="B169">
        <v>6949.1890003609597</v>
      </c>
      <c r="C169">
        <v>2030383.7024640001</v>
      </c>
      <c r="D169">
        <v>1014938.102464</v>
      </c>
      <c r="E169">
        <v>210</v>
      </c>
    </row>
    <row r="170" spans="1:5" x14ac:dyDescent="0.35">
      <c r="A170" s="1" t="s">
        <v>168</v>
      </c>
      <c r="B170">
        <v>10499.259816021995</v>
      </c>
      <c r="C170">
        <v>1879021.8071040004</v>
      </c>
      <c r="D170">
        <v>1505912.6228948787</v>
      </c>
      <c r="E170">
        <v>500</v>
      </c>
    </row>
    <row r="171" spans="1:5" x14ac:dyDescent="0.35">
      <c r="A171" s="1" t="s">
        <v>169</v>
      </c>
      <c r="B171">
        <v>7186.0632319021106</v>
      </c>
      <c r="C171">
        <v>1714424.1753600002</v>
      </c>
      <c r="D171">
        <v>997901.08914188412</v>
      </c>
      <c r="E171">
        <v>560</v>
      </c>
    </row>
    <row r="172" spans="1:5" x14ac:dyDescent="0.35">
      <c r="A172" s="1" t="s">
        <v>170</v>
      </c>
      <c r="B172">
        <v>3869.829771199325</v>
      </c>
      <c r="C172">
        <v>1373539.8277120001</v>
      </c>
      <c r="D172">
        <v>551179.18240953691</v>
      </c>
      <c r="E172">
        <v>210</v>
      </c>
    </row>
    <row r="173" spans="1:5" x14ac:dyDescent="0.35">
      <c r="A173" s="1" t="s">
        <v>171</v>
      </c>
      <c r="B173">
        <v>9180.7198418944008</v>
      </c>
      <c r="C173">
        <v>1767218.5689600003</v>
      </c>
      <c r="D173">
        <v>1360048.1689600002</v>
      </c>
      <c r="E173">
        <v>150</v>
      </c>
    </row>
    <row r="174" spans="1:5" x14ac:dyDescent="0.35">
      <c r="A174" s="1" t="s">
        <v>172</v>
      </c>
      <c r="B174">
        <v>4679.9680870809598</v>
      </c>
      <c r="C174">
        <v>1048016.0304640001</v>
      </c>
      <c r="D174">
        <v>697284.35046400002</v>
      </c>
      <c r="E174">
        <v>50</v>
      </c>
    </row>
    <row r="175" spans="1:5" x14ac:dyDescent="0.35">
      <c r="A175" s="1" t="s">
        <v>173</v>
      </c>
      <c r="B175">
        <v>6246.9981389495024</v>
      </c>
      <c r="C175">
        <v>1382590.9735040001</v>
      </c>
      <c r="D175">
        <v>933282.85225143109</v>
      </c>
      <c r="E175">
        <v>50</v>
      </c>
    </row>
    <row r="176" spans="1:5" x14ac:dyDescent="0.35">
      <c r="A176" s="1" t="s">
        <v>174</v>
      </c>
      <c r="B176">
        <v>13503.701315040815</v>
      </c>
      <c r="C176">
        <v>2447692.880256</v>
      </c>
      <c r="D176">
        <v>2011099.595638677</v>
      </c>
      <c r="E176">
        <v>150</v>
      </c>
    </row>
    <row r="177" spans="1:5" x14ac:dyDescent="0.35">
      <c r="A177" s="1" t="s">
        <v>175</v>
      </c>
      <c r="B177">
        <v>10095.215563792262</v>
      </c>
      <c r="C177">
        <v>2093123.5470080003</v>
      </c>
      <c r="D177">
        <v>1488737.2837036541</v>
      </c>
      <c r="E177">
        <v>210</v>
      </c>
    </row>
    <row r="178" spans="1:5" x14ac:dyDescent="0.35">
      <c r="A178" s="1" t="s">
        <v>176</v>
      </c>
      <c r="B178">
        <v>3682.3900636499957</v>
      </c>
      <c r="C178">
        <v>1302442.2927359999</v>
      </c>
      <c r="D178">
        <v>554576.81681475835</v>
      </c>
    </row>
    <row r="179" spans="1:5" x14ac:dyDescent="0.35">
      <c r="A179" s="1" t="s">
        <v>177</v>
      </c>
      <c r="B179">
        <v>5109.0815201390569</v>
      </c>
      <c r="C179">
        <v>1191411.9185279999</v>
      </c>
      <c r="D179">
        <v>746849.62652696646</v>
      </c>
      <c r="E179">
        <v>150</v>
      </c>
    </row>
    <row r="180" spans="1:5" x14ac:dyDescent="0.35">
      <c r="A180" s="1" t="s">
        <v>178</v>
      </c>
      <c r="B180">
        <v>5751.2289377557508</v>
      </c>
      <c r="C180">
        <v>1457091.293632</v>
      </c>
      <c r="D180">
        <v>866148.93640899856</v>
      </c>
    </row>
    <row r="181" spans="1:5" x14ac:dyDescent="0.35">
      <c r="A181" s="1" t="s">
        <v>179</v>
      </c>
      <c r="B181">
        <v>6707.245309104137</v>
      </c>
      <c r="C181">
        <v>1565758.0132480001</v>
      </c>
      <c r="D181">
        <v>986030.92004580377</v>
      </c>
      <c r="E181">
        <v>160</v>
      </c>
    </row>
    <row r="182" spans="1:5" x14ac:dyDescent="0.35">
      <c r="A182" s="1" t="s">
        <v>180</v>
      </c>
      <c r="B182">
        <v>6070.4205103705426</v>
      </c>
      <c r="C182">
        <v>1399340.041216</v>
      </c>
      <c r="D182">
        <v>890123.57083893719</v>
      </c>
      <c r="E182">
        <v>160</v>
      </c>
    </row>
    <row r="183" spans="1:5" x14ac:dyDescent="0.35">
      <c r="A183" s="1" t="s">
        <v>181</v>
      </c>
      <c r="B183">
        <v>7712.1973695232009</v>
      </c>
      <c r="C183">
        <v>1704138.5628800001</v>
      </c>
      <c r="D183">
        <v>1152439.3628800001</v>
      </c>
      <c r="E183">
        <v>60</v>
      </c>
    </row>
    <row r="184" spans="1:5" x14ac:dyDescent="0.35">
      <c r="A184" s="1" t="s">
        <v>182</v>
      </c>
      <c r="B184">
        <v>5860.7121593116462</v>
      </c>
      <c r="C184">
        <v>1550104.5522559998</v>
      </c>
      <c r="D184">
        <v>851010.86736621184</v>
      </c>
      <c r="E184">
        <v>210</v>
      </c>
    </row>
    <row r="185" spans="1:5" x14ac:dyDescent="0.35">
      <c r="A185" s="1" t="s">
        <v>183</v>
      </c>
      <c r="B185">
        <v>10189.679646182398</v>
      </c>
      <c r="C185">
        <v>2074579.1081599998</v>
      </c>
      <c r="D185">
        <v>1534590.3081599998</v>
      </c>
    </row>
    <row r="186" spans="1:5" x14ac:dyDescent="0.35">
      <c r="A186" s="1" t="s">
        <v>184</v>
      </c>
      <c r="B186">
        <v>7290.275309957121</v>
      </c>
      <c r="C186">
        <v>1136621.0286080001</v>
      </c>
      <c r="D186">
        <v>1097933.0286080001</v>
      </c>
    </row>
    <row r="187" spans="1:5" x14ac:dyDescent="0.35">
      <c r="A187" s="1" t="s">
        <v>185</v>
      </c>
      <c r="B187">
        <v>4860.6887501414394</v>
      </c>
      <c r="C187">
        <v>844217.69369599991</v>
      </c>
      <c r="D187">
        <v>722995.29369599989</v>
      </c>
      <c r="E187">
        <v>59.999999999999993</v>
      </c>
    </row>
    <row r="188" spans="1:5" x14ac:dyDescent="0.35">
      <c r="A188" s="1" t="s">
        <v>186</v>
      </c>
      <c r="B188">
        <v>4343.3032970868398</v>
      </c>
      <c r="C188">
        <v>1118991.7148799999</v>
      </c>
      <c r="D188">
        <v>631521.58088657225</v>
      </c>
      <c r="E188">
        <v>150</v>
      </c>
    </row>
    <row r="189" spans="1:5" x14ac:dyDescent="0.35">
      <c r="A189" s="1" t="s">
        <v>187</v>
      </c>
      <c r="B189">
        <v>4430.8388233709475</v>
      </c>
      <c r="C189">
        <v>1219952.732544</v>
      </c>
      <c r="D189">
        <v>644704.64207393792</v>
      </c>
      <c r="E189">
        <v>150</v>
      </c>
    </row>
    <row r="190" spans="1:5" x14ac:dyDescent="0.35">
      <c r="A190" s="1" t="s">
        <v>188</v>
      </c>
      <c r="B190">
        <v>3538.9063375050132</v>
      </c>
      <c r="C190">
        <v>766044.38393600006</v>
      </c>
      <c r="D190">
        <v>525437.70143147791</v>
      </c>
      <c r="E190">
        <v>49.999999999999986</v>
      </c>
    </row>
    <row r="191" spans="1:5" x14ac:dyDescent="0.35">
      <c r="A191" s="1" t="s">
        <v>189</v>
      </c>
      <c r="B191">
        <v>4831.2961338063942</v>
      </c>
      <c r="C191">
        <v>2160275.0823679999</v>
      </c>
      <c r="D191">
        <v>718568.69485036051</v>
      </c>
      <c r="E191">
        <v>60</v>
      </c>
    </row>
    <row r="192" spans="1:5" x14ac:dyDescent="0.35">
      <c r="A192" s="1" t="s">
        <v>190</v>
      </c>
      <c r="B192">
        <v>8204.3699119769608</v>
      </c>
      <c r="C192">
        <v>1340199.5168640001</v>
      </c>
      <c r="D192">
        <v>1213007.5168640001</v>
      </c>
      <c r="E192">
        <v>150</v>
      </c>
    </row>
    <row r="193" spans="1:5" x14ac:dyDescent="0.35">
      <c r="A193" s="1" t="s">
        <v>191</v>
      </c>
      <c r="B193">
        <v>3331.290735228436</v>
      </c>
      <c r="C193">
        <v>836135.22636800003</v>
      </c>
      <c r="D193">
        <v>479110.05048621021</v>
      </c>
      <c r="E193">
        <v>150</v>
      </c>
    </row>
    <row r="194" spans="1:5" x14ac:dyDescent="0.35">
      <c r="A194" s="1" t="s">
        <v>192</v>
      </c>
      <c r="B194">
        <v>10175.697288959942</v>
      </c>
      <c r="C194">
        <v>2224210.3195519997</v>
      </c>
      <c r="D194">
        <v>1463207.4230361357</v>
      </c>
      <c r="E194">
        <v>460</v>
      </c>
    </row>
    <row r="195" spans="1:5" x14ac:dyDescent="0.35">
      <c r="A195" s="1" t="s">
        <v>193</v>
      </c>
      <c r="B195">
        <v>7073.0531058469151</v>
      </c>
      <c r="C195">
        <v>1313260.6880640001</v>
      </c>
      <c r="D195">
        <v>1048652.5761817642</v>
      </c>
      <c r="E195">
        <v>109.99999999999999</v>
      </c>
    </row>
    <row r="196" spans="1:5" x14ac:dyDescent="0.35">
      <c r="A196" s="1" t="s">
        <v>194</v>
      </c>
      <c r="B196">
        <v>6197.5040157551775</v>
      </c>
      <c r="C196">
        <v>1632929.717952</v>
      </c>
      <c r="D196">
        <v>918298.79755349061</v>
      </c>
      <c r="E196">
        <v>100</v>
      </c>
    </row>
    <row r="197" spans="1:5" x14ac:dyDescent="0.35">
      <c r="A197" s="1" t="s">
        <v>195</v>
      </c>
      <c r="B197">
        <v>9775.7879596328403</v>
      </c>
      <c r="C197">
        <v>1624570.8186240001</v>
      </c>
      <c r="D197">
        <v>1464727.1023543433</v>
      </c>
      <c r="E197">
        <v>50</v>
      </c>
    </row>
    <row r="198" spans="1:5" x14ac:dyDescent="0.35">
      <c r="A198" s="1" t="s">
        <v>196</v>
      </c>
      <c r="B198">
        <v>3694.9044408466571</v>
      </c>
      <c r="C198">
        <v>692442.71782399993</v>
      </c>
      <c r="D198">
        <v>547425.3675973881</v>
      </c>
      <c r="E198">
        <v>60</v>
      </c>
    </row>
    <row r="199" spans="1:5" x14ac:dyDescent="0.35">
      <c r="A199" s="1" t="s">
        <v>197</v>
      </c>
      <c r="B199">
        <v>5364.0762285358423</v>
      </c>
      <c r="C199">
        <v>1330722.1907200001</v>
      </c>
      <c r="D199">
        <v>798806.66092407261</v>
      </c>
      <c r="E199">
        <v>59.999999999999993</v>
      </c>
    </row>
    <row r="200" spans="1:5" x14ac:dyDescent="0.35">
      <c r="A200" s="1" t="s">
        <v>198</v>
      </c>
      <c r="B200">
        <v>7136.1955283395164</v>
      </c>
      <c r="C200">
        <v>1537983.1001600001</v>
      </c>
      <c r="D200">
        <v>1043101.7361957103</v>
      </c>
      <c r="E200">
        <v>210</v>
      </c>
    </row>
    <row r="201" spans="1:5" x14ac:dyDescent="0.35">
      <c r="A201" s="1" t="s">
        <v>199</v>
      </c>
      <c r="B201">
        <v>4697.6130695835045</v>
      </c>
      <c r="C201">
        <v>974334.68287999998</v>
      </c>
      <c r="D201">
        <v>692411.60686498566</v>
      </c>
      <c r="E201">
        <v>100</v>
      </c>
    </row>
    <row r="202" spans="1:5" x14ac:dyDescent="0.35">
      <c r="A202" s="1" t="s">
        <v>200</v>
      </c>
      <c r="B202">
        <v>3275.0094310841296</v>
      </c>
      <c r="C202">
        <v>995034.10988800006</v>
      </c>
      <c r="D202">
        <v>478164.07094640506</v>
      </c>
      <c r="E202">
        <v>100</v>
      </c>
    </row>
    <row r="203" spans="1:5" x14ac:dyDescent="0.35">
      <c r="A203" s="1" t="s">
        <v>201</v>
      </c>
      <c r="B203">
        <v>6527.3417247867819</v>
      </c>
      <c r="C203">
        <v>1366652.8786559999</v>
      </c>
      <c r="D203">
        <v>966467.12722692499</v>
      </c>
      <c r="E203">
        <v>110</v>
      </c>
    </row>
    <row r="204" spans="1:5" x14ac:dyDescent="0.35">
      <c r="A204" s="1" t="s">
        <v>202</v>
      </c>
      <c r="B204">
        <v>4860.4394800793598</v>
      </c>
      <c r="C204">
        <v>791805.75302399998</v>
      </c>
      <c r="D204">
        <v>722957.75302399998</v>
      </c>
      <c r="E204">
        <v>59.999999999999993</v>
      </c>
    </row>
    <row r="205" spans="1:5" x14ac:dyDescent="0.35">
      <c r="A205" s="1" t="s">
        <v>203</v>
      </c>
      <c r="B205">
        <v>7715.1756602981613</v>
      </c>
      <c r="C205">
        <v>2645743.59296</v>
      </c>
      <c r="D205">
        <v>1092646.9367918917</v>
      </c>
      <c r="E205">
        <v>460</v>
      </c>
    </row>
    <row r="206" spans="1:5" x14ac:dyDescent="0.35">
      <c r="A206" s="1" t="s">
        <v>204</v>
      </c>
      <c r="B206">
        <v>4706.8796086027669</v>
      </c>
      <c r="C206">
        <v>1454363.2155520001</v>
      </c>
      <c r="D206">
        <v>677240.90491005522</v>
      </c>
      <c r="E206">
        <v>210</v>
      </c>
    </row>
    <row r="207" spans="1:5" x14ac:dyDescent="0.35">
      <c r="A207" s="1" t="s">
        <v>205</v>
      </c>
      <c r="B207">
        <v>10844.554176097281</v>
      </c>
      <c r="C207">
        <v>2022113.4843520003</v>
      </c>
      <c r="D207">
        <v>1601589.4843520001</v>
      </c>
      <c r="E207">
        <v>209.99999999999997</v>
      </c>
    </row>
    <row r="208" spans="1:5" x14ac:dyDescent="0.35">
      <c r="A208" s="1" t="s">
        <v>206</v>
      </c>
      <c r="B208">
        <v>4400.9438345223434</v>
      </c>
      <c r="C208">
        <v>1365773.5902720001</v>
      </c>
      <c r="D208">
        <v>647732.50519914809</v>
      </c>
      <c r="E208">
        <v>100</v>
      </c>
    </row>
    <row r="209" spans="1:5" x14ac:dyDescent="0.35">
      <c r="A209" s="1" t="s">
        <v>207</v>
      </c>
      <c r="B209">
        <v>7027.6226307020797</v>
      </c>
      <c r="C209">
        <v>1660381.3166720001</v>
      </c>
      <c r="D209">
        <v>1034280.5166719999</v>
      </c>
      <c r="E209">
        <v>160</v>
      </c>
    </row>
    <row r="210" spans="1:5" x14ac:dyDescent="0.35">
      <c r="A210" s="1" t="s">
        <v>208</v>
      </c>
      <c r="B210">
        <v>8371.7463427584007</v>
      </c>
      <c r="C210">
        <v>1548313.5865600002</v>
      </c>
      <c r="D210">
        <v>1236708.7865600002</v>
      </c>
      <c r="E210">
        <v>160</v>
      </c>
    </row>
    <row r="211" spans="1:5" x14ac:dyDescent="0.35">
      <c r="A211" s="1" t="s">
        <v>209</v>
      </c>
      <c r="B211">
        <v>2157.18343959412</v>
      </c>
      <c r="C211">
        <v>556689.85715200007</v>
      </c>
      <c r="D211">
        <v>293250.51801116264</v>
      </c>
      <c r="E211">
        <v>210</v>
      </c>
    </row>
    <row r="212" spans="1:5" x14ac:dyDescent="0.35">
      <c r="A212" s="1" t="s">
        <v>210</v>
      </c>
      <c r="B212">
        <v>6714.6548798036438</v>
      </c>
      <c r="C212">
        <v>1464820.4846080001</v>
      </c>
      <c r="D212">
        <v>988652.84334392229</v>
      </c>
      <c r="E212">
        <v>150</v>
      </c>
    </row>
    <row r="213" spans="1:5" x14ac:dyDescent="0.35">
      <c r="A213" s="1" t="s">
        <v>211</v>
      </c>
      <c r="B213">
        <v>6906.8910522231326</v>
      </c>
      <c r="C213">
        <v>1373595.971904</v>
      </c>
      <c r="D213">
        <v>1016098.0500336043</v>
      </c>
      <c r="E213">
        <v>160</v>
      </c>
    </row>
    <row r="214" spans="1:5" x14ac:dyDescent="0.35">
      <c r="A214" s="1" t="s">
        <v>212</v>
      </c>
      <c r="B214">
        <v>6417.1767470899204</v>
      </c>
      <c r="C214">
        <v>1089069.616128</v>
      </c>
      <c r="D214">
        <v>949876.0161280001</v>
      </c>
      <c r="E214">
        <v>110</v>
      </c>
    </row>
    <row r="215" spans="1:5" x14ac:dyDescent="0.35">
      <c r="A215" s="1" t="s">
        <v>213</v>
      </c>
      <c r="B215">
        <v>8945.5717103564803</v>
      </c>
      <c r="C215">
        <v>2060883.469632</v>
      </c>
      <c r="D215">
        <v>1323128.269632</v>
      </c>
      <c r="E215">
        <v>160</v>
      </c>
    </row>
    <row r="216" spans="1:5" x14ac:dyDescent="0.35">
      <c r="A216" s="1" t="s">
        <v>214</v>
      </c>
      <c r="B216">
        <v>7953.44743518208</v>
      </c>
      <c r="C216">
        <v>1352893.148672</v>
      </c>
      <c r="D216">
        <v>1197808.348672</v>
      </c>
    </row>
    <row r="217" spans="1:5" x14ac:dyDescent="0.35">
      <c r="A217" s="1" t="s">
        <v>215</v>
      </c>
      <c r="B217">
        <v>8740.025682087411</v>
      </c>
      <c r="C217">
        <v>2045024.5304320003</v>
      </c>
      <c r="D217">
        <v>1308738.8075432847</v>
      </c>
      <c r="E217">
        <v>50</v>
      </c>
    </row>
    <row r="218" spans="1:5" x14ac:dyDescent="0.35">
      <c r="A218" s="1" t="s">
        <v>216</v>
      </c>
      <c r="B218">
        <v>5310.5986232358837</v>
      </c>
      <c r="C218">
        <v>1638481.8503040001</v>
      </c>
      <c r="D218">
        <v>775692.5637403439</v>
      </c>
      <c r="E218">
        <v>160</v>
      </c>
    </row>
    <row r="219" spans="1:5" x14ac:dyDescent="0.35">
      <c r="A219" s="1" t="s">
        <v>217</v>
      </c>
      <c r="B219">
        <v>7721.0760794265598</v>
      </c>
      <c r="C219">
        <v>1724070.397504</v>
      </c>
      <c r="D219">
        <v>1146246.397504</v>
      </c>
      <c r="E219">
        <v>110</v>
      </c>
    </row>
    <row r="220" spans="1:5" x14ac:dyDescent="0.35">
      <c r="A220" s="1" t="s">
        <v>218</v>
      </c>
      <c r="B220">
        <v>5857.0510248977316</v>
      </c>
      <c r="C220">
        <v>1923585.1190399998</v>
      </c>
      <c r="D220">
        <v>873049.85314724874</v>
      </c>
      <c r="E220">
        <v>60</v>
      </c>
    </row>
    <row r="221" spans="1:5" x14ac:dyDescent="0.35">
      <c r="A221" s="1" t="s">
        <v>219</v>
      </c>
      <c r="B221">
        <v>5899.2549687769433</v>
      </c>
      <c r="C221">
        <v>1508489.9897600003</v>
      </c>
      <c r="D221">
        <v>880911.89288809383</v>
      </c>
      <c r="E221">
        <v>50</v>
      </c>
    </row>
    <row r="222" spans="1:5" x14ac:dyDescent="0.35">
      <c r="A222" s="1" t="s">
        <v>220</v>
      </c>
      <c r="B222">
        <v>8021.4412995328012</v>
      </c>
      <c r="C222">
        <v>1318308.1475200001</v>
      </c>
      <c r="D222">
        <v>1192988.1475200001</v>
      </c>
      <c r="E222">
        <v>100</v>
      </c>
    </row>
    <row r="223" spans="1:5" x14ac:dyDescent="0.35">
      <c r="A223" s="1" t="s">
        <v>221</v>
      </c>
      <c r="B223">
        <v>8274.7194073241608</v>
      </c>
      <c r="C223">
        <v>1621538.561344</v>
      </c>
      <c r="D223">
        <v>1238662.561344</v>
      </c>
      <c r="E223">
        <v>50</v>
      </c>
    </row>
    <row r="224" spans="1:5" x14ac:dyDescent="0.35">
      <c r="A224" s="1" t="s">
        <v>222</v>
      </c>
      <c r="B224">
        <v>6867.5662989835218</v>
      </c>
      <c r="C224">
        <v>1306496.2027520002</v>
      </c>
      <c r="D224">
        <v>1010175.6474372774</v>
      </c>
      <c r="E224">
        <v>160</v>
      </c>
    </row>
    <row r="225" spans="1:5" x14ac:dyDescent="0.35">
      <c r="A225" s="1" t="s">
        <v>223</v>
      </c>
      <c r="B225">
        <v>9993.6964270387198</v>
      </c>
      <c r="C225">
        <v>1647368.498048</v>
      </c>
      <c r="D225">
        <v>1488508.498048</v>
      </c>
      <c r="E225">
        <v>110</v>
      </c>
    </row>
    <row r="226" spans="1:5" x14ac:dyDescent="0.35">
      <c r="A226" s="1" t="s">
        <v>224</v>
      </c>
      <c r="B226">
        <v>7058.8001126092795</v>
      </c>
      <c r="C226">
        <v>1138471.2651519999</v>
      </c>
      <c r="D226">
        <v>1048012.0651519999</v>
      </c>
      <c r="E226">
        <v>100</v>
      </c>
    </row>
    <row r="227" spans="1:5" x14ac:dyDescent="0.35">
      <c r="A227" s="1" t="s">
        <v>225</v>
      </c>
      <c r="B227">
        <v>9600.3039194265602</v>
      </c>
      <c r="C227">
        <v>1669990.397504</v>
      </c>
      <c r="D227">
        <v>1414202.397504</v>
      </c>
      <c r="E227">
        <v>210</v>
      </c>
    </row>
    <row r="228" spans="1:5" x14ac:dyDescent="0.35">
      <c r="A228" s="1" t="s">
        <v>226</v>
      </c>
      <c r="B228">
        <v>7373.9484031537377</v>
      </c>
      <c r="C228">
        <v>1860669.5369600002</v>
      </c>
      <c r="D228">
        <v>1095474.1571014666</v>
      </c>
      <c r="E228">
        <v>100</v>
      </c>
    </row>
    <row r="229" spans="1:5" x14ac:dyDescent="0.35">
      <c r="A229" s="1" t="s">
        <v>227</v>
      </c>
      <c r="B229">
        <v>5610.5091108966399</v>
      </c>
      <c r="C229">
        <v>1143113.6853760001</v>
      </c>
      <c r="D229">
        <v>813329.68537600001</v>
      </c>
      <c r="E229">
        <v>210</v>
      </c>
    </row>
    <row r="230" spans="1:5" x14ac:dyDescent="0.35">
      <c r="A230" s="1" t="s">
        <v>228</v>
      </c>
      <c r="B230">
        <v>4986.7772183091201</v>
      </c>
      <c r="C230">
        <v>758633.46540800005</v>
      </c>
      <c r="D230">
        <v>751020.665408</v>
      </c>
    </row>
    <row r="231" spans="1:5" x14ac:dyDescent="0.35">
      <c r="A231" s="1" t="s">
        <v>229</v>
      </c>
      <c r="B231">
        <v>6222.4399569907273</v>
      </c>
      <c r="C231">
        <v>1506996.1845120001</v>
      </c>
      <c r="D231">
        <v>929584.33087209752</v>
      </c>
      <c r="E231">
        <v>50</v>
      </c>
    </row>
    <row r="232" spans="1:5" x14ac:dyDescent="0.35">
      <c r="A232" s="1" t="s">
        <v>230</v>
      </c>
      <c r="B232">
        <v>9827.2649166899209</v>
      </c>
      <c r="C232">
        <v>1704472.456128</v>
      </c>
      <c r="D232">
        <v>1472479.656128</v>
      </c>
      <c r="E232">
        <v>50</v>
      </c>
    </row>
    <row r="233" spans="1:5" x14ac:dyDescent="0.35">
      <c r="A233" s="1" t="s">
        <v>231</v>
      </c>
      <c r="B233">
        <v>7340.7546153574394</v>
      </c>
      <c r="C233">
        <v>1325339.7480959999</v>
      </c>
      <c r="D233">
        <v>1081438.9480959999</v>
      </c>
      <c r="E233">
        <v>160</v>
      </c>
    </row>
    <row r="234" spans="1:5" x14ac:dyDescent="0.35">
      <c r="A234" s="1" t="s">
        <v>232</v>
      </c>
      <c r="B234">
        <v>8303.7502552422411</v>
      </c>
      <c r="C234">
        <v>1611622.532416</v>
      </c>
      <c r="D234">
        <v>1233998.532416</v>
      </c>
      <c r="E234">
        <v>110.00000000000001</v>
      </c>
    </row>
    <row r="235" spans="1:5" x14ac:dyDescent="0.35">
      <c r="A235" s="1" t="s">
        <v>233</v>
      </c>
      <c r="B235">
        <v>10169.87235621376</v>
      </c>
      <c r="C235">
        <v>2163419.1379840001</v>
      </c>
      <c r="D235">
        <v>1522571.1379839999</v>
      </c>
      <c r="E235">
        <v>60</v>
      </c>
    </row>
    <row r="236" spans="1:5" x14ac:dyDescent="0.35">
      <c r="A236" s="1" t="s">
        <v>234</v>
      </c>
      <c r="B236">
        <v>3416.8604520396798</v>
      </c>
      <c r="C236">
        <v>584827.97651199996</v>
      </c>
      <c r="D236">
        <v>499527.17651199998</v>
      </c>
      <c r="E236">
        <v>100</v>
      </c>
    </row>
    <row r="237" spans="1:5" x14ac:dyDescent="0.35">
      <c r="A237" s="1" t="s">
        <v>235</v>
      </c>
      <c r="B237">
        <v>8293.5403951360022</v>
      </c>
      <c r="C237">
        <v>2347673.1824000003</v>
      </c>
      <c r="D237">
        <v>1224930.7824000001</v>
      </c>
      <c r="E237">
        <v>160</v>
      </c>
    </row>
    <row r="238" spans="1:5" x14ac:dyDescent="0.35">
      <c r="A238" s="1" t="s">
        <v>236</v>
      </c>
      <c r="B238">
        <v>10649.27380653056</v>
      </c>
      <c r="C238">
        <v>2153260.0311040003</v>
      </c>
      <c r="D238">
        <v>1587240.0311040001</v>
      </c>
      <c r="E238">
        <v>110</v>
      </c>
    </row>
    <row r="239" spans="1:5" x14ac:dyDescent="0.35">
      <c r="A239" s="1" t="s">
        <v>237</v>
      </c>
      <c r="B239">
        <v>5186.7332234393607</v>
      </c>
      <c r="C239">
        <v>959714.37702400004</v>
      </c>
      <c r="D239">
        <v>772098.37702400004</v>
      </c>
      <c r="E239">
        <v>60</v>
      </c>
    </row>
    <row r="240" spans="1:5" x14ac:dyDescent="0.35">
      <c r="A240" s="1" t="s">
        <v>238</v>
      </c>
      <c r="B240">
        <v>9108.3845594112008</v>
      </c>
      <c r="C240">
        <v>1428746.54208</v>
      </c>
      <c r="D240">
        <v>1364214.54208</v>
      </c>
      <c r="E240">
        <v>50</v>
      </c>
    </row>
    <row r="241" spans="1:5" x14ac:dyDescent="0.35">
      <c r="A241" s="1" t="s">
        <v>239</v>
      </c>
      <c r="B241">
        <v>3346.043223309196</v>
      </c>
      <c r="C241">
        <v>990652.66143999994</v>
      </c>
      <c r="D241">
        <v>488861.93122126447</v>
      </c>
      <c r="E241">
        <v>100</v>
      </c>
    </row>
    <row r="242" spans="1:5" x14ac:dyDescent="0.35">
      <c r="A242" s="1" t="s">
        <v>240</v>
      </c>
      <c r="B242">
        <v>7012.2945631795201</v>
      </c>
      <c r="C242">
        <v>1200784.872768</v>
      </c>
      <c r="D242">
        <v>1031972.072768</v>
      </c>
      <c r="E242">
        <v>160</v>
      </c>
    </row>
    <row r="243" spans="1:5" x14ac:dyDescent="0.35">
      <c r="A243" s="1" t="s">
        <v>241</v>
      </c>
      <c r="B243">
        <v>4552.16681169408</v>
      </c>
      <c r="C243">
        <v>723546.52947199997</v>
      </c>
      <c r="D243">
        <v>662976.92947199999</v>
      </c>
      <c r="E243">
        <v>150</v>
      </c>
    </row>
    <row r="244" spans="1:5" x14ac:dyDescent="0.35">
      <c r="A244" s="1" t="s">
        <v>242</v>
      </c>
      <c r="B244">
        <v>5976.9495581977371</v>
      </c>
      <c r="C244">
        <v>1551608.1992320002</v>
      </c>
      <c r="D244">
        <v>891106.86117435805</v>
      </c>
      <c r="E244">
        <v>59.999999999999986</v>
      </c>
    </row>
    <row r="245" spans="1:5" x14ac:dyDescent="0.35">
      <c r="A245" s="1" t="s">
        <v>243</v>
      </c>
      <c r="B245">
        <v>6197.0631159326867</v>
      </c>
      <c r="C245">
        <v>1965431.9335040001</v>
      </c>
      <c r="D245">
        <v>924256.49336335645</v>
      </c>
      <c r="E245">
        <v>60</v>
      </c>
    </row>
    <row r="246" spans="1:5" x14ac:dyDescent="0.35">
      <c r="A246" s="1" t="s">
        <v>244</v>
      </c>
      <c r="B246">
        <v>5587.8773518324469</v>
      </c>
      <c r="C246">
        <v>1556494.4769920001</v>
      </c>
      <c r="D246">
        <v>818957.43250488664</v>
      </c>
      <c r="E246">
        <v>150</v>
      </c>
    </row>
    <row r="247" spans="1:5" x14ac:dyDescent="0.35">
      <c r="A247" s="1" t="s">
        <v>245</v>
      </c>
      <c r="B247">
        <v>7765.0050881002326</v>
      </c>
      <c r="C247">
        <v>1594259.9479040001</v>
      </c>
      <c r="D247">
        <v>1160392.3325452157</v>
      </c>
      <c r="E247">
        <v>59.999999999999986</v>
      </c>
    </row>
    <row r="248" spans="1:5" x14ac:dyDescent="0.35">
      <c r="A248" s="1" t="s">
        <v>246</v>
      </c>
      <c r="B248">
        <v>9665.7444306995203</v>
      </c>
      <c r="C248">
        <v>1925898.0407680001</v>
      </c>
      <c r="D248">
        <v>1433094.0407680001</v>
      </c>
      <c r="E248">
        <v>150</v>
      </c>
    </row>
    <row r="249" spans="1:5" x14ac:dyDescent="0.35">
      <c r="A249" s="1" t="s">
        <v>247</v>
      </c>
      <c r="B249">
        <v>9779.2080484403195</v>
      </c>
      <c r="C249">
        <v>1869843.2554880001</v>
      </c>
      <c r="D249">
        <v>1457712.0554879999</v>
      </c>
      <c r="E249">
        <v>100</v>
      </c>
    </row>
    <row r="250" spans="1:5" x14ac:dyDescent="0.35">
      <c r="A250" s="1" t="s">
        <v>248</v>
      </c>
      <c r="B250">
        <v>8405.6478644019189</v>
      </c>
      <c r="C250">
        <v>1722574.7169280001</v>
      </c>
      <c r="D250">
        <v>1234284.316928</v>
      </c>
      <c r="E250">
        <v>210</v>
      </c>
    </row>
    <row r="251" spans="1:5" x14ac:dyDescent="0.35">
      <c r="A251" s="1" t="s">
        <v>249</v>
      </c>
      <c r="B251">
        <v>8174.5529446271203</v>
      </c>
      <c r="C251">
        <v>1867677.1592959999</v>
      </c>
      <c r="D251">
        <v>1214541.1061185421</v>
      </c>
      <c r="E251">
        <v>110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0371-7175-4801-A426-ED79BAD727FE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1223040</v>
      </c>
      <c r="C2">
        <v>52728</v>
      </c>
      <c r="D2">
        <v>104104.00000000001</v>
      </c>
      <c r="E2">
        <v>32240</v>
      </c>
      <c r="F2">
        <v>9516</v>
      </c>
      <c r="G2">
        <v>689506.17049599998</v>
      </c>
    </row>
    <row r="3" spans="1:7" x14ac:dyDescent="0.35">
      <c r="A3" s="1" t="s">
        <v>1</v>
      </c>
      <c r="B3">
        <v>226044</v>
      </c>
      <c r="C3">
        <v>123031.99999999999</v>
      </c>
      <c r="D3">
        <v>69784</v>
      </c>
      <c r="E3">
        <v>48360</v>
      </c>
      <c r="F3">
        <v>19032</v>
      </c>
      <c r="G3">
        <v>299929.58611199999</v>
      </c>
    </row>
    <row r="4" spans="1:7" x14ac:dyDescent="0.35">
      <c r="A4" s="1" t="s">
        <v>2</v>
      </c>
      <c r="B4">
        <v>856128</v>
      </c>
      <c r="C4">
        <v>100048.00000000001</v>
      </c>
      <c r="D4">
        <v>70928</v>
      </c>
      <c r="E4">
        <v>16120</v>
      </c>
      <c r="F4">
        <v>6344</v>
      </c>
      <c r="G4">
        <v>455774.478848</v>
      </c>
    </row>
    <row r="5" spans="1:7" x14ac:dyDescent="0.35">
      <c r="A5" s="1" t="s">
        <v>3</v>
      </c>
      <c r="B5">
        <v>222768</v>
      </c>
      <c r="C5">
        <v>63544.000000000007</v>
      </c>
      <c r="D5">
        <v>57200.000000000007</v>
      </c>
      <c r="E5">
        <v>145080</v>
      </c>
      <c r="F5">
        <v>12688</v>
      </c>
      <c r="G5">
        <v>531949.10080000001</v>
      </c>
    </row>
    <row r="6" spans="1:7" x14ac:dyDescent="0.35">
      <c r="A6" s="1" t="s">
        <v>4</v>
      </c>
      <c r="B6">
        <v>594048</v>
      </c>
      <c r="C6">
        <v>135200</v>
      </c>
      <c r="D6">
        <v>78936</v>
      </c>
      <c r="E6">
        <v>64480</v>
      </c>
      <c r="F6">
        <v>25376</v>
      </c>
      <c r="G6">
        <v>471665.83692799998</v>
      </c>
    </row>
    <row r="7" spans="1:7" x14ac:dyDescent="0.35">
      <c r="A7" s="1" t="s">
        <v>5</v>
      </c>
      <c r="B7">
        <v>137592</v>
      </c>
      <c r="C7">
        <v>129792</v>
      </c>
      <c r="D7">
        <v>84656</v>
      </c>
      <c r="E7">
        <v>32240</v>
      </c>
      <c r="F7">
        <v>12688</v>
      </c>
      <c r="G7">
        <v>537573.01145599992</v>
      </c>
    </row>
    <row r="8" spans="1:7" x14ac:dyDescent="0.35">
      <c r="A8" s="1" t="s">
        <v>6</v>
      </c>
      <c r="B8">
        <v>150696</v>
      </c>
      <c r="C8">
        <v>114920</v>
      </c>
      <c r="D8">
        <v>132704</v>
      </c>
      <c r="E8">
        <v>96720</v>
      </c>
      <c r="F8">
        <v>22203.999999999996</v>
      </c>
      <c r="G8">
        <v>704336.37580799998</v>
      </c>
    </row>
    <row r="9" spans="1:7" x14ac:dyDescent="0.35">
      <c r="A9" s="1" t="s">
        <v>7</v>
      </c>
      <c r="B9">
        <v>183456.00000000003</v>
      </c>
      <c r="C9">
        <v>59488</v>
      </c>
      <c r="D9">
        <v>67496</v>
      </c>
      <c r="E9">
        <v>96720</v>
      </c>
      <c r="F9">
        <v>25376</v>
      </c>
      <c r="G9">
        <v>983799.88844799995</v>
      </c>
    </row>
    <row r="10" spans="1:7" x14ac:dyDescent="0.35">
      <c r="A10" s="1" t="s">
        <v>8</v>
      </c>
      <c r="B10">
        <v>84084.000000000015</v>
      </c>
      <c r="C10">
        <v>91936</v>
      </c>
      <c r="D10">
        <v>57200.000000000007</v>
      </c>
      <c r="E10">
        <v>112840</v>
      </c>
      <c r="F10">
        <v>6344</v>
      </c>
      <c r="G10">
        <v>230371.96915200003</v>
      </c>
    </row>
    <row r="11" spans="1:7" x14ac:dyDescent="0.35">
      <c r="A11" s="1" t="s">
        <v>9</v>
      </c>
      <c r="B11">
        <v>163800</v>
      </c>
      <c r="C11">
        <v>97344.000000000015</v>
      </c>
      <c r="D11">
        <v>48048</v>
      </c>
      <c r="E11">
        <v>32240</v>
      </c>
      <c r="F11">
        <v>31720</v>
      </c>
      <c r="G11">
        <v>259017.00198400003</v>
      </c>
    </row>
    <row r="12" spans="1:7" x14ac:dyDescent="0.35">
      <c r="A12" s="1" t="s">
        <v>10</v>
      </c>
      <c r="B12">
        <v>185640</v>
      </c>
      <c r="C12">
        <v>94640</v>
      </c>
      <c r="D12">
        <v>76648</v>
      </c>
      <c r="E12">
        <v>145080</v>
      </c>
      <c r="F12">
        <v>25376</v>
      </c>
      <c r="G12">
        <v>498172.93094400002</v>
      </c>
    </row>
    <row r="13" spans="1:7" x14ac:dyDescent="0.35">
      <c r="A13" s="1" t="s">
        <v>11</v>
      </c>
      <c r="B13">
        <v>1261260</v>
      </c>
      <c r="C13">
        <v>89231.999999999985</v>
      </c>
      <c r="D13">
        <v>73216</v>
      </c>
      <c r="E13">
        <v>80600</v>
      </c>
      <c r="F13">
        <v>3172</v>
      </c>
      <c r="G13">
        <v>236762.98464000004</v>
      </c>
    </row>
    <row r="14" spans="1:7" x14ac:dyDescent="0.35">
      <c r="A14" s="1" t="s">
        <v>12</v>
      </c>
      <c r="B14">
        <v>828827.99999999988</v>
      </c>
      <c r="C14">
        <v>44615.999999999993</v>
      </c>
      <c r="D14">
        <v>90376</v>
      </c>
      <c r="E14">
        <v>16120</v>
      </c>
      <c r="F14">
        <v>22203.999999999996</v>
      </c>
      <c r="G14">
        <v>791139.37510400009</v>
      </c>
    </row>
    <row r="15" spans="1:7" x14ac:dyDescent="0.35">
      <c r="A15" s="1" t="s">
        <v>13</v>
      </c>
      <c r="B15">
        <v>98280</v>
      </c>
      <c r="C15">
        <v>82471.999999999985</v>
      </c>
      <c r="D15">
        <v>74360</v>
      </c>
      <c r="E15">
        <v>32240</v>
      </c>
      <c r="F15">
        <v>28547.999999999996</v>
      </c>
      <c r="G15">
        <v>588048.52787200001</v>
      </c>
    </row>
    <row r="16" spans="1:7" x14ac:dyDescent="0.35">
      <c r="A16" s="1" t="s">
        <v>14</v>
      </c>
      <c r="B16">
        <v>444444</v>
      </c>
      <c r="C16">
        <v>128440</v>
      </c>
      <c r="D16">
        <v>86944.000000000015</v>
      </c>
      <c r="E16">
        <v>16120</v>
      </c>
      <c r="F16">
        <v>12688</v>
      </c>
      <c r="G16">
        <v>291878.98771200003</v>
      </c>
    </row>
    <row r="17" spans="1:7" x14ac:dyDescent="0.35">
      <c r="A17" s="1" t="s">
        <v>15</v>
      </c>
      <c r="B17">
        <v>1292928</v>
      </c>
      <c r="C17">
        <v>77064</v>
      </c>
      <c r="D17">
        <v>91520</v>
      </c>
      <c r="E17">
        <v>128960</v>
      </c>
      <c r="F17">
        <v>22203.999999999996</v>
      </c>
      <c r="G17">
        <v>956945.96857600019</v>
      </c>
    </row>
    <row r="18" spans="1:7" x14ac:dyDescent="0.35">
      <c r="A18" s="1" t="s">
        <v>16</v>
      </c>
      <c r="B18">
        <v>851760</v>
      </c>
      <c r="C18">
        <v>41912.000000000007</v>
      </c>
      <c r="D18">
        <v>123552</v>
      </c>
      <c r="E18">
        <v>112840</v>
      </c>
      <c r="F18">
        <v>6344</v>
      </c>
      <c r="G18">
        <v>687427.58656000008</v>
      </c>
    </row>
    <row r="19" spans="1:7" x14ac:dyDescent="0.35">
      <c r="A19" s="1" t="s">
        <v>17</v>
      </c>
      <c r="B19">
        <v>343980</v>
      </c>
      <c r="C19">
        <v>44615.999999999993</v>
      </c>
      <c r="D19">
        <v>96096</v>
      </c>
      <c r="E19">
        <v>32240</v>
      </c>
      <c r="F19">
        <v>31720</v>
      </c>
      <c r="G19">
        <v>1011977.117632</v>
      </c>
    </row>
    <row r="20" spans="1:7" x14ac:dyDescent="0.35">
      <c r="A20" s="1" t="s">
        <v>18</v>
      </c>
      <c r="B20">
        <v>442260</v>
      </c>
      <c r="C20">
        <v>54080</v>
      </c>
      <c r="D20">
        <v>131560.00000000003</v>
      </c>
      <c r="E20">
        <v>48360</v>
      </c>
      <c r="F20">
        <v>3172</v>
      </c>
      <c r="G20">
        <v>659221.58931199997</v>
      </c>
    </row>
    <row r="21" spans="1:7" x14ac:dyDescent="0.35">
      <c r="A21" s="1" t="s">
        <v>19</v>
      </c>
      <c r="B21">
        <v>91728</v>
      </c>
      <c r="C21">
        <v>105456</v>
      </c>
      <c r="D21">
        <v>107536</v>
      </c>
      <c r="E21">
        <v>48360</v>
      </c>
      <c r="F21">
        <v>25376</v>
      </c>
      <c r="G21">
        <v>683953.59718399995</v>
      </c>
    </row>
    <row r="22" spans="1:7" x14ac:dyDescent="0.35">
      <c r="A22" s="1" t="s">
        <v>20</v>
      </c>
      <c r="B22">
        <v>152880</v>
      </c>
      <c r="C22">
        <v>127088.00000000001</v>
      </c>
      <c r="D22">
        <v>97240.000000000015</v>
      </c>
      <c r="E22">
        <v>80600</v>
      </c>
      <c r="F22">
        <v>25376</v>
      </c>
      <c r="G22">
        <v>684040.66515200003</v>
      </c>
    </row>
    <row r="23" spans="1:7" x14ac:dyDescent="0.35">
      <c r="A23" s="1" t="s">
        <v>21</v>
      </c>
      <c r="B23">
        <v>393120.00000000006</v>
      </c>
      <c r="C23">
        <v>100048.00000000001</v>
      </c>
      <c r="D23">
        <v>116688.00000000001</v>
      </c>
      <c r="E23">
        <v>96720</v>
      </c>
      <c r="F23">
        <v>3172</v>
      </c>
      <c r="G23">
        <v>704021.99795200001</v>
      </c>
    </row>
    <row r="24" spans="1:7" x14ac:dyDescent="0.35">
      <c r="A24" s="1" t="s">
        <v>22</v>
      </c>
      <c r="B24">
        <v>229320.00000000003</v>
      </c>
      <c r="C24">
        <v>60840</v>
      </c>
      <c r="D24">
        <v>61776</v>
      </c>
      <c r="E24">
        <v>112840</v>
      </c>
      <c r="F24">
        <v>9516</v>
      </c>
      <c r="G24">
        <v>997559.62841600005</v>
      </c>
    </row>
    <row r="25" spans="1:7" x14ac:dyDescent="0.35">
      <c r="A25" s="1" t="s">
        <v>23</v>
      </c>
      <c r="B25">
        <v>1081080</v>
      </c>
      <c r="C25">
        <v>85176</v>
      </c>
      <c r="D25">
        <v>65208</v>
      </c>
      <c r="E25">
        <v>80600</v>
      </c>
      <c r="F25">
        <v>12688</v>
      </c>
      <c r="G25">
        <v>495070.65919999999</v>
      </c>
    </row>
    <row r="26" spans="1:7" x14ac:dyDescent="0.35">
      <c r="A26" s="1" t="s">
        <v>24</v>
      </c>
      <c r="B26">
        <v>698880</v>
      </c>
      <c r="C26">
        <v>55432.000000000007</v>
      </c>
      <c r="D26">
        <v>89232</v>
      </c>
      <c r="E26">
        <v>64480</v>
      </c>
      <c r="F26">
        <v>9516</v>
      </c>
      <c r="G26">
        <v>522264.89868800004</v>
      </c>
    </row>
    <row r="27" spans="1:7" x14ac:dyDescent="0.35">
      <c r="A27" s="1" t="s">
        <v>25</v>
      </c>
      <c r="B27">
        <v>252252</v>
      </c>
      <c r="C27">
        <v>44615.999999999993</v>
      </c>
      <c r="D27">
        <v>121264.00000000001</v>
      </c>
      <c r="E27">
        <v>128960</v>
      </c>
      <c r="F27">
        <v>22203.999999999996</v>
      </c>
      <c r="G27">
        <v>668448.03251200006</v>
      </c>
    </row>
    <row r="28" spans="1:7" x14ac:dyDescent="0.35">
      <c r="A28" s="1" t="s">
        <v>26</v>
      </c>
      <c r="B28">
        <v>631176</v>
      </c>
      <c r="C28">
        <v>128440</v>
      </c>
      <c r="D28">
        <v>81224</v>
      </c>
      <c r="E28">
        <v>64480</v>
      </c>
      <c r="F28">
        <v>22203.999999999996</v>
      </c>
      <c r="G28">
        <v>819034.65030400013</v>
      </c>
    </row>
    <row r="29" spans="1:7" x14ac:dyDescent="0.35">
      <c r="A29" s="1" t="s">
        <v>27</v>
      </c>
      <c r="B29">
        <v>829920</v>
      </c>
      <c r="C29">
        <v>90584.000000000015</v>
      </c>
      <c r="D29">
        <v>62920.000000000007</v>
      </c>
      <c r="E29">
        <v>32240</v>
      </c>
      <c r="F29">
        <v>22203.999999999996</v>
      </c>
      <c r="G29">
        <v>485764.300736</v>
      </c>
    </row>
    <row r="30" spans="1:7" x14ac:dyDescent="0.35">
      <c r="A30" s="1" t="s">
        <v>28</v>
      </c>
      <c r="B30">
        <v>733824.00000000012</v>
      </c>
      <c r="C30">
        <v>64896</v>
      </c>
      <c r="D30">
        <v>51480.000000000007</v>
      </c>
      <c r="E30">
        <v>16120</v>
      </c>
      <c r="F30">
        <v>6344</v>
      </c>
      <c r="G30">
        <v>545438.469056</v>
      </c>
    </row>
    <row r="31" spans="1:7" x14ac:dyDescent="0.35">
      <c r="A31" s="1" t="s">
        <v>29</v>
      </c>
      <c r="B31">
        <v>698880</v>
      </c>
      <c r="C31">
        <v>113568.00000000001</v>
      </c>
      <c r="D31">
        <v>122408</v>
      </c>
      <c r="E31">
        <v>96720</v>
      </c>
      <c r="F31">
        <v>19032</v>
      </c>
      <c r="G31">
        <v>1028739.924992</v>
      </c>
    </row>
    <row r="32" spans="1:7" x14ac:dyDescent="0.35">
      <c r="A32" s="1" t="s">
        <v>30</v>
      </c>
      <c r="B32">
        <v>628992</v>
      </c>
      <c r="C32">
        <v>124384.00000000001</v>
      </c>
      <c r="D32">
        <v>62920.000000000007</v>
      </c>
      <c r="E32">
        <v>64480</v>
      </c>
      <c r="F32">
        <v>6344</v>
      </c>
      <c r="G32">
        <v>706213.03084800008</v>
      </c>
    </row>
    <row r="33" spans="1:7" x14ac:dyDescent="0.35">
      <c r="A33" s="1" t="s">
        <v>31</v>
      </c>
      <c r="B33">
        <v>611520</v>
      </c>
      <c r="C33">
        <v>70304</v>
      </c>
      <c r="D33">
        <v>130416</v>
      </c>
      <c r="E33">
        <v>32240</v>
      </c>
      <c r="F33">
        <v>28547.999999999996</v>
      </c>
      <c r="G33">
        <v>575732.941888</v>
      </c>
    </row>
    <row r="34" spans="1:7" x14ac:dyDescent="0.35">
      <c r="A34" s="1" t="s">
        <v>32</v>
      </c>
      <c r="B34">
        <v>575484</v>
      </c>
      <c r="C34">
        <v>73008</v>
      </c>
      <c r="D34">
        <v>65208</v>
      </c>
      <c r="E34">
        <v>145080</v>
      </c>
      <c r="F34">
        <v>12688</v>
      </c>
      <c r="G34">
        <v>297946.42425600003</v>
      </c>
    </row>
    <row r="35" spans="1:7" x14ac:dyDescent="0.35">
      <c r="A35" s="1" t="s">
        <v>33</v>
      </c>
      <c r="B35">
        <v>49140</v>
      </c>
      <c r="C35">
        <v>47320</v>
      </c>
      <c r="D35">
        <v>122408.00000000001</v>
      </c>
      <c r="E35">
        <v>64480</v>
      </c>
      <c r="F35">
        <v>15860</v>
      </c>
      <c r="G35">
        <v>246610.19718399999</v>
      </c>
    </row>
    <row r="36" spans="1:7" x14ac:dyDescent="0.35">
      <c r="A36" s="1" t="s">
        <v>34</v>
      </c>
      <c r="B36">
        <v>1223040</v>
      </c>
      <c r="C36">
        <v>109511.99999999999</v>
      </c>
      <c r="D36">
        <v>125840.00000000001</v>
      </c>
      <c r="E36">
        <v>48360</v>
      </c>
      <c r="F36">
        <v>25376</v>
      </c>
      <c r="G36">
        <v>630159.78854400001</v>
      </c>
    </row>
    <row r="37" spans="1:7" x14ac:dyDescent="0.35">
      <c r="A37" s="1" t="s">
        <v>35</v>
      </c>
      <c r="B37">
        <v>622440</v>
      </c>
      <c r="C37">
        <v>59488</v>
      </c>
      <c r="D37">
        <v>49192.000000000015</v>
      </c>
      <c r="E37">
        <v>128960</v>
      </c>
      <c r="F37">
        <v>3172</v>
      </c>
      <c r="G37">
        <v>817534.94617600006</v>
      </c>
    </row>
    <row r="38" spans="1:7" x14ac:dyDescent="0.35">
      <c r="A38" s="1" t="s">
        <v>36</v>
      </c>
      <c r="B38">
        <v>979524.00000000012</v>
      </c>
      <c r="C38">
        <v>45968</v>
      </c>
      <c r="D38">
        <v>96096</v>
      </c>
      <c r="E38">
        <v>32240</v>
      </c>
      <c r="F38">
        <v>15860</v>
      </c>
      <c r="G38">
        <v>232874.57689600007</v>
      </c>
    </row>
    <row r="39" spans="1:7" x14ac:dyDescent="0.35">
      <c r="A39" s="1" t="s">
        <v>37</v>
      </c>
      <c r="B39">
        <v>327600</v>
      </c>
      <c r="C39">
        <v>125736</v>
      </c>
      <c r="D39">
        <v>109824.00000000001</v>
      </c>
      <c r="E39">
        <v>48360</v>
      </c>
      <c r="F39">
        <v>12688</v>
      </c>
      <c r="G39">
        <v>643150.43187199999</v>
      </c>
    </row>
    <row r="40" spans="1:7" x14ac:dyDescent="0.35">
      <c r="A40" s="1" t="s">
        <v>38</v>
      </c>
      <c r="B40">
        <v>152880</v>
      </c>
      <c r="C40">
        <v>129792</v>
      </c>
      <c r="D40">
        <v>123552</v>
      </c>
      <c r="E40">
        <v>145080</v>
      </c>
      <c r="F40">
        <v>19032</v>
      </c>
      <c r="G40">
        <v>957477.96268799994</v>
      </c>
    </row>
    <row r="41" spans="1:7" x14ac:dyDescent="0.35">
      <c r="A41" s="1" t="s">
        <v>39</v>
      </c>
      <c r="B41">
        <v>316680</v>
      </c>
      <c r="C41">
        <v>123031.99999999999</v>
      </c>
      <c r="D41">
        <v>60632.000000000007</v>
      </c>
      <c r="E41">
        <v>64480</v>
      </c>
      <c r="F41">
        <v>25376</v>
      </c>
      <c r="G41">
        <v>989099.2375680001</v>
      </c>
    </row>
    <row r="42" spans="1:7" x14ac:dyDescent="0.35">
      <c r="A42" s="1" t="s">
        <v>40</v>
      </c>
      <c r="B42">
        <v>396396</v>
      </c>
      <c r="C42">
        <v>95991.999999999985</v>
      </c>
      <c r="D42">
        <v>130416</v>
      </c>
      <c r="E42">
        <v>96720</v>
      </c>
      <c r="F42">
        <v>3172</v>
      </c>
      <c r="G42">
        <v>928219.00787199987</v>
      </c>
    </row>
    <row r="43" spans="1:7" x14ac:dyDescent="0.35">
      <c r="A43" s="1" t="s">
        <v>41</v>
      </c>
      <c r="B43">
        <v>204204</v>
      </c>
      <c r="C43">
        <v>128440</v>
      </c>
      <c r="D43">
        <v>86944.000000000015</v>
      </c>
      <c r="E43">
        <v>145080</v>
      </c>
      <c r="F43">
        <v>3172</v>
      </c>
      <c r="G43">
        <v>613810.34374399995</v>
      </c>
    </row>
    <row r="44" spans="1:7" x14ac:dyDescent="0.35">
      <c r="A44" s="1" t="s">
        <v>42</v>
      </c>
      <c r="B44">
        <v>1090908</v>
      </c>
      <c r="C44">
        <v>55432</v>
      </c>
      <c r="D44">
        <v>75504</v>
      </c>
      <c r="E44">
        <v>96720</v>
      </c>
      <c r="F44">
        <v>19032</v>
      </c>
      <c r="G44">
        <v>597875.19001599995</v>
      </c>
    </row>
    <row r="45" spans="1:7" x14ac:dyDescent="0.35">
      <c r="A45" s="1" t="s">
        <v>43</v>
      </c>
      <c r="B45">
        <v>594048</v>
      </c>
      <c r="C45">
        <v>64896</v>
      </c>
      <c r="D45">
        <v>102960.00000000001</v>
      </c>
      <c r="E45">
        <v>145080</v>
      </c>
      <c r="F45">
        <v>31720</v>
      </c>
      <c r="G45">
        <v>898047.71264000004</v>
      </c>
    </row>
    <row r="46" spans="1:7" x14ac:dyDescent="0.35">
      <c r="A46" s="1" t="s">
        <v>44</v>
      </c>
      <c r="B46">
        <v>573300</v>
      </c>
      <c r="C46">
        <v>101400</v>
      </c>
      <c r="D46">
        <v>128128.00000000001</v>
      </c>
      <c r="E46">
        <v>64480</v>
      </c>
      <c r="F46">
        <v>9516</v>
      </c>
      <c r="G46">
        <v>824911.31008000008</v>
      </c>
    </row>
    <row r="47" spans="1:7" x14ac:dyDescent="0.35">
      <c r="A47" s="1" t="s">
        <v>45</v>
      </c>
      <c r="B47">
        <v>174720</v>
      </c>
      <c r="C47">
        <v>74360</v>
      </c>
      <c r="D47">
        <v>115544.00000000001</v>
      </c>
      <c r="E47">
        <v>80600</v>
      </c>
      <c r="F47">
        <v>3172</v>
      </c>
      <c r="G47">
        <v>539356.648896</v>
      </c>
    </row>
    <row r="48" spans="1:7" x14ac:dyDescent="0.35">
      <c r="A48" s="1" t="s">
        <v>46</v>
      </c>
      <c r="B48">
        <v>864864.00000000012</v>
      </c>
      <c r="C48">
        <v>64896</v>
      </c>
      <c r="D48">
        <v>68640</v>
      </c>
      <c r="E48">
        <v>64480</v>
      </c>
      <c r="F48">
        <v>6344</v>
      </c>
      <c r="G48">
        <v>793024.79193600011</v>
      </c>
    </row>
    <row r="49" spans="1:7" x14ac:dyDescent="0.35">
      <c r="A49" s="1" t="s">
        <v>47</v>
      </c>
      <c r="B49">
        <v>443352.00000000006</v>
      </c>
      <c r="C49">
        <v>81120</v>
      </c>
      <c r="D49">
        <v>84656</v>
      </c>
      <c r="E49">
        <v>48360</v>
      </c>
      <c r="F49">
        <v>12688</v>
      </c>
      <c r="G49">
        <v>947322.70630399999</v>
      </c>
    </row>
    <row r="50" spans="1:7" x14ac:dyDescent="0.35">
      <c r="A50" s="1" t="s">
        <v>48</v>
      </c>
      <c r="B50">
        <v>589680</v>
      </c>
      <c r="C50">
        <v>124384.00000000001</v>
      </c>
      <c r="D50">
        <v>89232</v>
      </c>
      <c r="E50">
        <v>80600</v>
      </c>
      <c r="F50">
        <v>12688</v>
      </c>
      <c r="G50">
        <v>999352.97945600003</v>
      </c>
    </row>
    <row r="51" spans="1:7" x14ac:dyDescent="0.35">
      <c r="A51" s="1" t="s">
        <v>49</v>
      </c>
      <c r="B51">
        <v>624624</v>
      </c>
      <c r="C51">
        <v>106808.00000000001</v>
      </c>
      <c r="D51">
        <v>50336</v>
      </c>
      <c r="E51">
        <v>48360</v>
      </c>
      <c r="F51">
        <v>28547.999999999996</v>
      </c>
      <c r="G51">
        <v>985214.3658240001</v>
      </c>
    </row>
    <row r="52" spans="1:7" x14ac:dyDescent="0.35">
      <c r="A52" s="1" t="s">
        <v>50</v>
      </c>
      <c r="B52">
        <v>1100736</v>
      </c>
      <c r="C52">
        <v>77064</v>
      </c>
      <c r="D52">
        <v>118976</v>
      </c>
      <c r="E52">
        <v>96720</v>
      </c>
      <c r="F52">
        <v>25376</v>
      </c>
      <c r="G52">
        <v>865416.30156800011</v>
      </c>
    </row>
    <row r="53" spans="1:7" x14ac:dyDescent="0.35">
      <c r="A53" s="1" t="s">
        <v>51</v>
      </c>
      <c r="B53">
        <v>471744</v>
      </c>
      <c r="C53">
        <v>117624.00000000001</v>
      </c>
      <c r="D53">
        <v>52624</v>
      </c>
      <c r="E53">
        <v>145080</v>
      </c>
      <c r="F53">
        <v>19032</v>
      </c>
      <c r="G53">
        <v>220281.61542399996</v>
      </c>
    </row>
    <row r="54" spans="1:7" x14ac:dyDescent="0.35">
      <c r="A54" s="1" t="s">
        <v>52</v>
      </c>
      <c r="B54">
        <v>218400</v>
      </c>
      <c r="C54">
        <v>135200</v>
      </c>
      <c r="D54">
        <v>93808.000000000015</v>
      </c>
      <c r="E54">
        <v>112840</v>
      </c>
      <c r="F54">
        <v>28547.999999999996</v>
      </c>
      <c r="G54">
        <v>566694.5814400001</v>
      </c>
    </row>
    <row r="55" spans="1:7" x14ac:dyDescent="0.35">
      <c r="A55" s="1" t="s">
        <v>53</v>
      </c>
      <c r="B55">
        <v>376740.00000000006</v>
      </c>
      <c r="C55">
        <v>64896</v>
      </c>
      <c r="D55">
        <v>137280</v>
      </c>
      <c r="E55">
        <v>48360</v>
      </c>
      <c r="F55">
        <v>6344</v>
      </c>
      <c r="G55">
        <v>385108.12371200003</v>
      </c>
    </row>
    <row r="56" spans="1:7" x14ac:dyDescent="0.35">
      <c r="A56" s="1" t="s">
        <v>54</v>
      </c>
      <c r="B56">
        <v>524160</v>
      </c>
      <c r="C56">
        <v>40560</v>
      </c>
      <c r="D56">
        <v>96096</v>
      </c>
      <c r="E56">
        <v>80600</v>
      </c>
      <c r="F56">
        <v>28547.999999999996</v>
      </c>
      <c r="G56">
        <v>327925.02496000001</v>
      </c>
    </row>
    <row r="57" spans="1:7" x14ac:dyDescent="0.35">
      <c r="A57" s="1" t="s">
        <v>55</v>
      </c>
      <c r="B57">
        <v>803712.00000000012</v>
      </c>
      <c r="C57">
        <v>135200</v>
      </c>
      <c r="D57">
        <v>92664.000000000015</v>
      </c>
      <c r="E57">
        <v>96720</v>
      </c>
      <c r="F57">
        <v>25376</v>
      </c>
      <c r="G57">
        <v>285291.69177600002</v>
      </c>
    </row>
    <row r="58" spans="1:7" x14ac:dyDescent="0.35">
      <c r="A58" s="1" t="s">
        <v>56</v>
      </c>
      <c r="B58">
        <v>91728</v>
      </c>
      <c r="C58">
        <v>108160</v>
      </c>
      <c r="D58">
        <v>128128.00000000001</v>
      </c>
      <c r="E58">
        <v>16120</v>
      </c>
      <c r="F58">
        <v>15860</v>
      </c>
      <c r="G58">
        <v>935180.04486400005</v>
      </c>
    </row>
    <row r="59" spans="1:7" x14ac:dyDescent="0.35">
      <c r="A59" s="1" t="s">
        <v>57</v>
      </c>
      <c r="B59">
        <v>248976</v>
      </c>
      <c r="C59">
        <v>68952</v>
      </c>
      <c r="D59">
        <v>51480.000000000015</v>
      </c>
      <c r="E59">
        <v>80600</v>
      </c>
      <c r="F59">
        <v>19032</v>
      </c>
      <c r="G59">
        <v>254864.90931200003</v>
      </c>
    </row>
    <row r="60" spans="1:7" x14ac:dyDescent="0.35">
      <c r="A60" s="1" t="s">
        <v>58</v>
      </c>
      <c r="B60">
        <v>778596</v>
      </c>
      <c r="C60">
        <v>74360</v>
      </c>
      <c r="D60">
        <v>51480.000000000007</v>
      </c>
      <c r="E60">
        <v>96720</v>
      </c>
      <c r="F60">
        <v>25376</v>
      </c>
      <c r="G60">
        <v>321842.50425599999</v>
      </c>
    </row>
    <row r="61" spans="1:7" x14ac:dyDescent="0.35">
      <c r="A61" s="1" t="s">
        <v>59</v>
      </c>
      <c r="B61">
        <v>222768</v>
      </c>
      <c r="C61">
        <v>40560</v>
      </c>
      <c r="D61">
        <v>56056</v>
      </c>
      <c r="E61">
        <v>112840</v>
      </c>
      <c r="F61">
        <v>9516</v>
      </c>
      <c r="G61">
        <v>1011912.2440960002</v>
      </c>
    </row>
    <row r="62" spans="1:7" x14ac:dyDescent="0.35">
      <c r="A62" s="1" t="s">
        <v>60</v>
      </c>
      <c r="B62">
        <v>366912.00000000006</v>
      </c>
      <c r="C62">
        <v>132496</v>
      </c>
      <c r="D62">
        <v>98384.000000000015</v>
      </c>
      <c r="E62">
        <v>64480</v>
      </c>
      <c r="F62">
        <v>12688</v>
      </c>
      <c r="G62">
        <v>643082.56896000006</v>
      </c>
    </row>
    <row r="63" spans="1:7" x14ac:dyDescent="0.35">
      <c r="A63" s="1" t="s">
        <v>61</v>
      </c>
      <c r="B63">
        <v>244608.00000000003</v>
      </c>
      <c r="C63">
        <v>82471.999999999985</v>
      </c>
      <c r="D63">
        <v>118976</v>
      </c>
      <c r="E63">
        <v>80600</v>
      </c>
      <c r="F63">
        <v>12688</v>
      </c>
      <c r="G63">
        <v>319059.26790400001</v>
      </c>
    </row>
    <row r="64" spans="1:7" x14ac:dyDescent="0.35">
      <c r="A64" s="1" t="s">
        <v>62</v>
      </c>
      <c r="B64">
        <v>678132.00000000012</v>
      </c>
      <c r="C64">
        <v>116271.99999999999</v>
      </c>
      <c r="D64">
        <v>105248.00000000001</v>
      </c>
      <c r="E64">
        <v>80600</v>
      </c>
      <c r="F64">
        <v>19032</v>
      </c>
      <c r="G64">
        <v>860721.12921599997</v>
      </c>
    </row>
    <row r="65" spans="1:7" x14ac:dyDescent="0.35">
      <c r="A65" s="1" t="s">
        <v>63</v>
      </c>
      <c r="B65">
        <v>244608</v>
      </c>
      <c r="C65">
        <v>66248</v>
      </c>
      <c r="D65">
        <v>85800</v>
      </c>
      <c r="E65">
        <v>80600</v>
      </c>
      <c r="F65">
        <v>9516</v>
      </c>
      <c r="G65">
        <v>222311.45830399997</v>
      </c>
    </row>
    <row r="66" spans="1:7" x14ac:dyDescent="0.35">
      <c r="A66" s="1" t="s">
        <v>64</v>
      </c>
      <c r="B66">
        <v>812448</v>
      </c>
      <c r="C66">
        <v>120328.00000000001</v>
      </c>
      <c r="D66">
        <v>130416</v>
      </c>
      <c r="E66">
        <v>48360</v>
      </c>
      <c r="F66">
        <v>15860</v>
      </c>
      <c r="G66">
        <v>238962.46400000001</v>
      </c>
    </row>
    <row r="67" spans="1:7" x14ac:dyDescent="0.35">
      <c r="A67" s="1" t="s">
        <v>65</v>
      </c>
      <c r="B67">
        <v>343980</v>
      </c>
      <c r="C67">
        <v>87880</v>
      </c>
      <c r="D67">
        <v>82368.000000000015</v>
      </c>
      <c r="E67">
        <v>16120</v>
      </c>
      <c r="F67">
        <v>25376</v>
      </c>
      <c r="G67">
        <v>960516.31852800003</v>
      </c>
    </row>
    <row r="68" spans="1:7" x14ac:dyDescent="0.35">
      <c r="A68" s="1" t="s">
        <v>66</v>
      </c>
      <c r="B68">
        <v>163800</v>
      </c>
      <c r="C68">
        <v>67600</v>
      </c>
      <c r="D68">
        <v>82368.000000000015</v>
      </c>
      <c r="E68">
        <v>128960</v>
      </c>
      <c r="F68">
        <v>3172</v>
      </c>
      <c r="G68">
        <v>796574.3968000001</v>
      </c>
    </row>
    <row r="69" spans="1:7" x14ac:dyDescent="0.35">
      <c r="A69" s="1" t="s">
        <v>67</v>
      </c>
      <c r="B69">
        <v>104832</v>
      </c>
      <c r="C69">
        <v>112216</v>
      </c>
      <c r="D69">
        <v>53768</v>
      </c>
      <c r="E69">
        <v>96720</v>
      </c>
      <c r="F69">
        <v>25376</v>
      </c>
      <c r="G69">
        <v>484695.10585599998</v>
      </c>
    </row>
    <row r="70" spans="1:7" x14ac:dyDescent="0.35">
      <c r="A70" s="1" t="s">
        <v>68</v>
      </c>
      <c r="B70">
        <v>425880</v>
      </c>
      <c r="C70">
        <v>78416</v>
      </c>
      <c r="D70">
        <v>105248.00000000001</v>
      </c>
      <c r="E70">
        <v>48360</v>
      </c>
      <c r="F70">
        <v>25376</v>
      </c>
      <c r="G70">
        <v>848037.28006400005</v>
      </c>
    </row>
    <row r="71" spans="1:7" x14ac:dyDescent="0.35">
      <c r="A71" s="1" t="s">
        <v>69</v>
      </c>
      <c r="B71">
        <v>768768</v>
      </c>
      <c r="C71">
        <v>114920</v>
      </c>
      <c r="D71">
        <v>128128.00000000001</v>
      </c>
      <c r="E71">
        <v>64480</v>
      </c>
      <c r="F71">
        <v>19032</v>
      </c>
      <c r="G71">
        <v>929943.03833600006</v>
      </c>
    </row>
    <row r="72" spans="1:7" x14ac:dyDescent="0.35">
      <c r="A72" s="1" t="s">
        <v>70</v>
      </c>
      <c r="B72">
        <v>360360</v>
      </c>
      <c r="C72">
        <v>93288.000000000015</v>
      </c>
      <c r="D72">
        <v>85800</v>
      </c>
      <c r="E72">
        <v>32240</v>
      </c>
      <c r="F72">
        <v>19032</v>
      </c>
      <c r="G72">
        <v>664389.50156800007</v>
      </c>
    </row>
    <row r="73" spans="1:7" x14ac:dyDescent="0.35">
      <c r="A73" s="1" t="s">
        <v>71</v>
      </c>
      <c r="B73">
        <v>728364.00000000012</v>
      </c>
      <c r="C73">
        <v>110864.00000000001</v>
      </c>
      <c r="D73">
        <v>83512</v>
      </c>
      <c r="E73">
        <v>112840</v>
      </c>
      <c r="F73">
        <v>19032</v>
      </c>
      <c r="G73">
        <v>893923.99200000009</v>
      </c>
    </row>
    <row r="74" spans="1:7" x14ac:dyDescent="0.35">
      <c r="A74" s="1" t="s">
        <v>72</v>
      </c>
      <c r="B74">
        <v>290472</v>
      </c>
      <c r="C74">
        <v>124384.00000000001</v>
      </c>
      <c r="D74">
        <v>82368.000000000015</v>
      </c>
      <c r="E74">
        <v>16120</v>
      </c>
      <c r="F74">
        <v>25376</v>
      </c>
      <c r="G74">
        <v>351050.40588800004</v>
      </c>
    </row>
    <row r="75" spans="1:7" x14ac:dyDescent="0.35">
      <c r="A75" s="1" t="s">
        <v>73</v>
      </c>
      <c r="B75">
        <v>580944</v>
      </c>
      <c r="C75">
        <v>90584.000000000015</v>
      </c>
      <c r="D75">
        <v>92664.000000000015</v>
      </c>
      <c r="E75">
        <v>64480</v>
      </c>
      <c r="F75">
        <v>19032</v>
      </c>
      <c r="G75">
        <v>871324.24870400003</v>
      </c>
    </row>
    <row r="76" spans="1:7" x14ac:dyDescent="0.35">
      <c r="A76" s="1" t="s">
        <v>74</v>
      </c>
      <c r="B76">
        <v>720720</v>
      </c>
      <c r="C76">
        <v>74360</v>
      </c>
      <c r="D76">
        <v>90376</v>
      </c>
      <c r="E76">
        <v>16120</v>
      </c>
      <c r="F76">
        <v>31720</v>
      </c>
      <c r="G76">
        <v>803169.70905599999</v>
      </c>
    </row>
    <row r="77" spans="1:7" x14ac:dyDescent="0.35">
      <c r="A77" s="1" t="s">
        <v>75</v>
      </c>
      <c r="B77">
        <v>1188096</v>
      </c>
      <c r="C77">
        <v>104104.00000000001</v>
      </c>
      <c r="D77">
        <v>68640</v>
      </c>
      <c r="E77">
        <v>128960</v>
      </c>
      <c r="F77">
        <v>28547.999999999996</v>
      </c>
      <c r="G77">
        <v>235829.97900799999</v>
      </c>
    </row>
    <row r="78" spans="1:7" x14ac:dyDescent="0.35">
      <c r="A78" s="1" t="s">
        <v>76</v>
      </c>
      <c r="B78">
        <v>864864</v>
      </c>
      <c r="C78">
        <v>56784.000000000007</v>
      </c>
      <c r="D78">
        <v>110968.00000000001</v>
      </c>
      <c r="E78">
        <v>64480</v>
      </c>
      <c r="F78">
        <v>3172</v>
      </c>
      <c r="G78">
        <v>268784.16364800005</v>
      </c>
    </row>
    <row r="79" spans="1:7" x14ac:dyDescent="0.35">
      <c r="A79" s="1" t="s">
        <v>77</v>
      </c>
      <c r="B79">
        <v>276276</v>
      </c>
      <c r="C79">
        <v>112216</v>
      </c>
      <c r="D79">
        <v>123552</v>
      </c>
      <c r="E79">
        <v>64480</v>
      </c>
      <c r="F79">
        <v>25376</v>
      </c>
      <c r="G79">
        <v>446563.687232</v>
      </c>
    </row>
    <row r="80" spans="1:7" x14ac:dyDescent="0.35">
      <c r="A80" s="1" t="s">
        <v>78</v>
      </c>
      <c r="B80">
        <v>668304.00000000012</v>
      </c>
      <c r="C80">
        <v>112216</v>
      </c>
      <c r="D80">
        <v>128128.00000000001</v>
      </c>
      <c r="E80">
        <v>32240</v>
      </c>
      <c r="F80">
        <v>12688</v>
      </c>
      <c r="G80">
        <v>983632.30534399999</v>
      </c>
    </row>
    <row r="81" spans="1:7" x14ac:dyDescent="0.35">
      <c r="A81" s="1" t="s">
        <v>79</v>
      </c>
      <c r="B81">
        <v>1447992</v>
      </c>
      <c r="C81">
        <v>89231.999999999985</v>
      </c>
      <c r="D81">
        <v>78936</v>
      </c>
      <c r="E81">
        <v>145080</v>
      </c>
      <c r="F81">
        <v>28547.999999999996</v>
      </c>
      <c r="G81">
        <v>689430.72473599995</v>
      </c>
    </row>
    <row r="82" spans="1:7" x14ac:dyDescent="0.35">
      <c r="A82" s="1" t="s">
        <v>80</v>
      </c>
      <c r="B82">
        <v>196560</v>
      </c>
      <c r="C82">
        <v>105456</v>
      </c>
      <c r="D82">
        <v>70928</v>
      </c>
      <c r="E82">
        <v>16120</v>
      </c>
      <c r="F82">
        <v>9516</v>
      </c>
      <c r="G82">
        <v>676011.52736000007</v>
      </c>
    </row>
    <row r="83" spans="1:7" x14ac:dyDescent="0.35">
      <c r="A83" s="1" t="s">
        <v>81</v>
      </c>
      <c r="B83">
        <v>744744.00000000012</v>
      </c>
      <c r="C83">
        <v>94640</v>
      </c>
      <c r="D83">
        <v>78936</v>
      </c>
      <c r="E83">
        <v>16120</v>
      </c>
      <c r="F83">
        <v>22203.999999999996</v>
      </c>
      <c r="G83">
        <v>742822.07500800001</v>
      </c>
    </row>
    <row r="84" spans="1:7" x14ac:dyDescent="0.35">
      <c r="A84" s="1" t="s">
        <v>82</v>
      </c>
      <c r="B84">
        <v>198744</v>
      </c>
      <c r="C84">
        <v>112216</v>
      </c>
      <c r="D84">
        <v>118976</v>
      </c>
      <c r="E84">
        <v>128960</v>
      </c>
      <c r="F84">
        <v>3172</v>
      </c>
      <c r="G84">
        <v>804957.26188800007</v>
      </c>
    </row>
    <row r="85" spans="1:7" x14ac:dyDescent="0.35">
      <c r="A85" s="1" t="s">
        <v>83</v>
      </c>
      <c r="B85">
        <v>92820</v>
      </c>
      <c r="C85">
        <v>70304</v>
      </c>
      <c r="D85">
        <v>92664.000000000015</v>
      </c>
      <c r="E85">
        <v>48360</v>
      </c>
      <c r="F85">
        <v>9516</v>
      </c>
      <c r="G85">
        <v>704794.06816000002</v>
      </c>
    </row>
    <row r="86" spans="1:7" x14ac:dyDescent="0.35">
      <c r="A86" s="1" t="s">
        <v>84</v>
      </c>
      <c r="B86">
        <v>311220</v>
      </c>
      <c r="C86">
        <v>63544.000000000007</v>
      </c>
      <c r="D86">
        <v>72072</v>
      </c>
      <c r="E86">
        <v>128960</v>
      </c>
      <c r="F86">
        <v>28547.999999999996</v>
      </c>
      <c r="G86">
        <v>306662.83315200004</v>
      </c>
    </row>
    <row r="87" spans="1:7" x14ac:dyDescent="0.35">
      <c r="A87" s="1" t="s">
        <v>85</v>
      </c>
      <c r="B87">
        <v>1244880</v>
      </c>
      <c r="C87">
        <v>135200</v>
      </c>
      <c r="D87">
        <v>86944.000000000015</v>
      </c>
      <c r="E87">
        <v>80600</v>
      </c>
      <c r="F87">
        <v>9516</v>
      </c>
      <c r="G87">
        <v>454352.72064000007</v>
      </c>
    </row>
    <row r="88" spans="1:7" x14ac:dyDescent="0.35">
      <c r="A88" s="1" t="s">
        <v>86</v>
      </c>
      <c r="B88">
        <v>737100</v>
      </c>
      <c r="C88">
        <v>58136</v>
      </c>
      <c r="D88">
        <v>124696</v>
      </c>
      <c r="E88">
        <v>48360</v>
      </c>
      <c r="F88">
        <v>9516</v>
      </c>
      <c r="G88">
        <v>412751.77798399999</v>
      </c>
    </row>
    <row r="89" spans="1:7" x14ac:dyDescent="0.35">
      <c r="A89" s="1" t="s">
        <v>87</v>
      </c>
      <c r="B89">
        <v>221676</v>
      </c>
      <c r="C89">
        <v>79768</v>
      </c>
      <c r="D89">
        <v>92664.000000000015</v>
      </c>
      <c r="E89">
        <v>16120</v>
      </c>
      <c r="F89">
        <v>6344</v>
      </c>
      <c r="G89">
        <v>585215.52127999999</v>
      </c>
    </row>
    <row r="90" spans="1:7" x14ac:dyDescent="0.35">
      <c r="A90" s="1" t="s">
        <v>88</v>
      </c>
      <c r="B90">
        <v>943488</v>
      </c>
      <c r="C90">
        <v>50024.000000000007</v>
      </c>
      <c r="D90">
        <v>81224</v>
      </c>
      <c r="E90">
        <v>16120</v>
      </c>
      <c r="F90">
        <v>19032</v>
      </c>
      <c r="G90">
        <v>777744.601088</v>
      </c>
    </row>
    <row r="91" spans="1:7" x14ac:dyDescent="0.35">
      <c r="A91" s="1" t="s">
        <v>89</v>
      </c>
      <c r="B91">
        <v>125580</v>
      </c>
      <c r="C91">
        <v>77064</v>
      </c>
      <c r="D91">
        <v>107536</v>
      </c>
      <c r="E91">
        <v>16120</v>
      </c>
      <c r="F91">
        <v>12688</v>
      </c>
      <c r="G91">
        <v>596559.64575999998</v>
      </c>
    </row>
    <row r="92" spans="1:7" x14ac:dyDescent="0.35">
      <c r="A92" s="1" t="s">
        <v>90</v>
      </c>
      <c r="B92">
        <v>1118208</v>
      </c>
      <c r="C92">
        <v>40560</v>
      </c>
      <c r="D92">
        <v>134992</v>
      </c>
      <c r="E92">
        <v>96720</v>
      </c>
      <c r="F92">
        <v>3172</v>
      </c>
      <c r="G92">
        <v>527068.42240000004</v>
      </c>
    </row>
    <row r="93" spans="1:7" x14ac:dyDescent="0.35">
      <c r="A93" s="1" t="s">
        <v>91</v>
      </c>
      <c r="B93">
        <v>1083264</v>
      </c>
      <c r="C93">
        <v>114920</v>
      </c>
      <c r="D93">
        <v>60632</v>
      </c>
      <c r="E93">
        <v>112840</v>
      </c>
      <c r="F93">
        <v>22203.999999999996</v>
      </c>
      <c r="G93">
        <v>255590.578048</v>
      </c>
    </row>
    <row r="94" spans="1:7" x14ac:dyDescent="0.35">
      <c r="A94" s="1" t="s">
        <v>92</v>
      </c>
      <c r="B94">
        <v>288288</v>
      </c>
      <c r="C94">
        <v>125736</v>
      </c>
      <c r="D94">
        <v>59488</v>
      </c>
      <c r="E94">
        <v>48360</v>
      </c>
      <c r="F94">
        <v>6344</v>
      </c>
      <c r="G94">
        <v>600254.76825600013</v>
      </c>
    </row>
    <row r="95" spans="1:7" x14ac:dyDescent="0.35">
      <c r="A95" s="1" t="s">
        <v>93</v>
      </c>
      <c r="B95">
        <v>443352.00000000006</v>
      </c>
      <c r="C95">
        <v>101400</v>
      </c>
      <c r="D95">
        <v>56056</v>
      </c>
      <c r="E95">
        <v>80600</v>
      </c>
      <c r="F95">
        <v>6344</v>
      </c>
      <c r="G95">
        <v>945892.14553600003</v>
      </c>
    </row>
    <row r="96" spans="1:7" x14ac:dyDescent="0.35">
      <c r="A96" s="1" t="s">
        <v>94</v>
      </c>
      <c r="B96">
        <v>611520</v>
      </c>
      <c r="C96">
        <v>73008</v>
      </c>
      <c r="D96">
        <v>49192.000000000007</v>
      </c>
      <c r="E96">
        <v>16120</v>
      </c>
      <c r="F96">
        <v>25376</v>
      </c>
      <c r="G96">
        <v>411464.23302400007</v>
      </c>
    </row>
    <row r="97" spans="1:7" x14ac:dyDescent="0.35">
      <c r="A97" s="1" t="s">
        <v>95</v>
      </c>
      <c r="B97">
        <v>397488</v>
      </c>
      <c r="C97">
        <v>48672.000000000007</v>
      </c>
      <c r="D97">
        <v>115544</v>
      </c>
      <c r="E97">
        <v>112840</v>
      </c>
      <c r="F97">
        <v>12688</v>
      </c>
      <c r="G97">
        <v>208193.31436799999</v>
      </c>
    </row>
    <row r="98" spans="1:7" x14ac:dyDescent="0.35">
      <c r="A98" s="1" t="s">
        <v>96</v>
      </c>
      <c r="B98">
        <v>340704</v>
      </c>
      <c r="C98">
        <v>109511.99999999999</v>
      </c>
      <c r="D98">
        <v>61776</v>
      </c>
      <c r="E98">
        <v>96720</v>
      </c>
      <c r="F98">
        <v>9516</v>
      </c>
      <c r="G98">
        <v>545273.46764800011</v>
      </c>
    </row>
    <row r="99" spans="1:7" x14ac:dyDescent="0.35">
      <c r="A99" s="1" t="s">
        <v>97</v>
      </c>
      <c r="B99">
        <v>99372</v>
      </c>
      <c r="C99">
        <v>125736</v>
      </c>
      <c r="D99">
        <v>133848</v>
      </c>
      <c r="E99">
        <v>64480</v>
      </c>
      <c r="F99">
        <v>6344</v>
      </c>
      <c r="G99">
        <v>654554.41625600006</v>
      </c>
    </row>
    <row r="100" spans="1:7" x14ac:dyDescent="0.35">
      <c r="A100" s="1" t="s">
        <v>98</v>
      </c>
      <c r="B100">
        <v>698880</v>
      </c>
      <c r="C100">
        <v>79768</v>
      </c>
      <c r="D100">
        <v>108680.00000000001</v>
      </c>
      <c r="E100">
        <v>16120</v>
      </c>
      <c r="F100">
        <v>19032</v>
      </c>
      <c r="G100">
        <v>449577.30937600008</v>
      </c>
    </row>
    <row r="101" spans="1:7" x14ac:dyDescent="0.35">
      <c r="A101" s="1" t="s">
        <v>99</v>
      </c>
      <c r="B101">
        <v>969696</v>
      </c>
      <c r="C101">
        <v>41912.000000000007</v>
      </c>
      <c r="D101">
        <v>102960.00000000001</v>
      </c>
      <c r="E101">
        <v>145080</v>
      </c>
      <c r="F101">
        <v>22203.999999999996</v>
      </c>
      <c r="G101">
        <v>1035270.931968</v>
      </c>
    </row>
    <row r="102" spans="1:7" x14ac:dyDescent="0.35">
      <c r="A102" s="1" t="s">
        <v>100</v>
      </c>
      <c r="B102">
        <v>851760</v>
      </c>
      <c r="C102">
        <v>133848</v>
      </c>
      <c r="D102">
        <v>53768</v>
      </c>
      <c r="E102">
        <v>48360</v>
      </c>
      <c r="F102">
        <v>28547.999999999996</v>
      </c>
      <c r="G102">
        <v>337166.48243200011</v>
      </c>
    </row>
    <row r="103" spans="1:7" x14ac:dyDescent="0.35">
      <c r="A103" s="1" t="s">
        <v>101</v>
      </c>
      <c r="B103">
        <v>157248</v>
      </c>
      <c r="C103">
        <v>106808.00000000001</v>
      </c>
      <c r="D103">
        <v>50336</v>
      </c>
      <c r="E103">
        <v>96720</v>
      </c>
      <c r="F103">
        <v>6344</v>
      </c>
      <c r="G103">
        <v>639182.52902399993</v>
      </c>
    </row>
    <row r="104" spans="1:7" x14ac:dyDescent="0.35">
      <c r="A104" s="1" t="s">
        <v>102</v>
      </c>
      <c r="B104">
        <v>696696</v>
      </c>
      <c r="C104">
        <v>86528.000000000015</v>
      </c>
      <c r="D104">
        <v>96096</v>
      </c>
      <c r="E104">
        <v>64480</v>
      </c>
      <c r="F104">
        <v>12688</v>
      </c>
      <c r="G104">
        <v>533698.41075199994</v>
      </c>
    </row>
    <row r="105" spans="1:7" x14ac:dyDescent="0.35">
      <c r="A105" s="1" t="s">
        <v>103</v>
      </c>
      <c r="B105">
        <v>336336.00000000006</v>
      </c>
      <c r="C105">
        <v>113568.00000000001</v>
      </c>
      <c r="D105">
        <v>124696</v>
      </c>
      <c r="E105">
        <v>48360</v>
      </c>
      <c r="F105">
        <v>19032</v>
      </c>
      <c r="G105">
        <v>690190.16767999995</v>
      </c>
    </row>
    <row r="106" spans="1:7" x14ac:dyDescent="0.35">
      <c r="A106" s="1" t="s">
        <v>104</v>
      </c>
      <c r="B106">
        <v>1009007.9999999998</v>
      </c>
      <c r="C106">
        <v>71656</v>
      </c>
      <c r="D106">
        <v>76648</v>
      </c>
      <c r="E106">
        <v>16120</v>
      </c>
      <c r="F106">
        <v>9516</v>
      </c>
      <c r="G106">
        <v>402701.57407999999</v>
      </c>
    </row>
    <row r="107" spans="1:7" x14ac:dyDescent="0.35">
      <c r="A107" s="1" t="s">
        <v>105</v>
      </c>
      <c r="B107">
        <v>168168</v>
      </c>
      <c r="C107">
        <v>48672.000000000007</v>
      </c>
      <c r="D107">
        <v>80080</v>
      </c>
      <c r="E107">
        <v>32240</v>
      </c>
      <c r="F107">
        <v>28547.999999999996</v>
      </c>
      <c r="G107">
        <v>387144.09427200002</v>
      </c>
    </row>
    <row r="108" spans="1:7" x14ac:dyDescent="0.35">
      <c r="A108" s="1" t="s">
        <v>106</v>
      </c>
      <c r="B108">
        <v>184548.00000000003</v>
      </c>
      <c r="C108">
        <v>75712</v>
      </c>
      <c r="D108">
        <v>105248.00000000001</v>
      </c>
      <c r="E108">
        <v>96720</v>
      </c>
      <c r="F108">
        <v>12688</v>
      </c>
      <c r="G108">
        <v>912615.77888</v>
      </c>
    </row>
    <row r="109" spans="1:7" x14ac:dyDescent="0.35">
      <c r="A109" s="1" t="s">
        <v>107</v>
      </c>
      <c r="B109">
        <v>253344</v>
      </c>
      <c r="C109">
        <v>75712</v>
      </c>
      <c r="D109">
        <v>118976</v>
      </c>
      <c r="E109">
        <v>48360</v>
      </c>
      <c r="F109">
        <v>25376</v>
      </c>
      <c r="G109">
        <v>616438.63923199999</v>
      </c>
    </row>
    <row r="110" spans="1:7" x14ac:dyDescent="0.35">
      <c r="A110" s="1" t="s">
        <v>108</v>
      </c>
      <c r="B110">
        <v>396396</v>
      </c>
      <c r="C110">
        <v>60840</v>
      </c>
      <c r="D110">
        <v>68640</v>
      </c>
      <c r="E110">
        <v>48360</v>
      </c>
      <c r="F110">
        <v>22203.999999999996</v>
      </c>
      <c r="G110">
        <v>281572.72831999999</v>
      </c>
    </row>
    <row r="111" spans="1:7" x14ac:dyDescent="0.35">
      <c r="A111" s="1" t="s">
        <v>109</v>
      </c>
      <c r="B111">
        <v>475020</v>
      </c>
      <c r="C111">
        <v>105456</v>
      </c>
      <c r="D111">
        <v>133848</v>
      </c>
      <c r="E111">
        <v>32240</v>
      </c>
      <c r="F111">
        <v>12688</v>
      </c>
      <c r="G111">
        <v>250124.475328</v>
      </c>
    </row>
    <row r="112" spans="1:7" x14ac:dyDescent="0.35">
      <c r="A112" s="1" t="s">
        <v>110</v>
      </c>
      <c r="B112">
        <v>491400</v>
      </c>
      <c r="C112">
        <v>52728</v>
      </c>
      <c r="D112">
        <v>116688.00000000001</v>
      </c>
      <c r="E112">
        <v>96720</v>
      </c>
      <c r="F112">
        <v>28547.999999999996</v>
      </c>
      <c r="G112">
        <v>526705.02892800001</v>
      </c>
    </row>
    <row r="113" spans="1:7" x14ac:dyDescent="0.35">
      <c r="A113" s="1" t="s">
        <v>111</v>
      </c>
      <c r="B113">
        <v>1064700.0000000002</v>
      </c>
      <c r="C113">
        <v>117624.00000000001</v>
      </c>
      <c r="D113">
        <v>67496</v>
      </c>
      <c r="E113">
        <v>112840</v>
      </c>
      <c r="F113">
        <v>3172</v>
      </c>
      <c r="G113">
        <v>844957.03968000005</v>
      </c>
    </row>
    <row r="114" spans="1:7" x14ac:dyDescent="0.35">
      <c r="A114" s="1" t="s">
        <v>112</v>
      </c>
      <c r="B114">
        <v>58968</v>
      </c>
      <c r="C114">
        <v>105456</v>
      </c>
      <c r="D114">
        <v>76648</v>
      </c>
      <c r="E114">
        <v>80600</v>
      </c>
      <c r="F114">
        <v>31720</v>
      </c>
      <c r="G114">
        <v>697863.34259200003</v>
      </c>
    </row>
    <row r="115" spans="1:7" x14ac:dyDescent="0.35">
      <c r="A115" s="1" t="s">
        <v>113</v>
      </c>
      <c r="B115">
        <v>227136.00000000003</v>
      </c>
      <c r="C115">
        <v>56784.000000000007</v>
      </c>
      <c r="D115">
        <v>90376</v>
      </c>
      <c r="E115">
        <v>80600</v>
      </c>
      <c r="F115">
        <v>6344</v>
      </c>
      <c r="G115">
        <v>714178.65958400001</v>
      </c>
    </row>
    <row r="116" spans="1:7" x14ac:dyDescent="0.35">
      <c r="A116" s="1" t="s">
        <v>114</v>
      </c>
      <c r="B116">
        <v>1150968</v>
      </c>
      <c r="C116">
        <v>102751.99999999999</v>
      </c>
      <c r="D116">
        <v>125840.00000000001</v>
      </c>
      <c r="E116">
        <v>48360</v>
      </c>
      <c r="F116">
        <v>3172</v>
      </c>
      <c r="G116">
        <v>662312.63404799998</v>
      </c>
    </row>
    <row r="117" spans="1:7" x14ac:dyDescent="0.35">
      <c r="A117" s="1" t="s">
        <v>115</v>
      </c>
      <c r="B117">
        <v>518700</v>
      </c>
      <c r="C117">
        <v>52728</v>
      </c>
      <c r="D117">
        <v>52624.000000000015</v>
      </c>
      <c r="E117">
        <v>80600</v>
      </c>
      <c r="F117">
        <v>22203.999999999996</v>
      </c>
      <c r="G117">
        <v>294662.07846400002</v>
      </c>
    </row>
    <row r="118" spans="1:7" x14ac:dyDescent="0.35">
      <c r="A118" s="1" t="s">
        <v>116</v>
      </c>
      <c r="B118">
        <v>825552.00000000012</v>
      </c>
      <c r="C118">
        <v>43264.000000000007</v>
      </c>
      <c r="D118">
        <v>46904.000000000007</v>
      </c>
      <c r="E118">
        <v>128960</v>
      </c>
      <c r="F118">
        <v>6344</v>
      </c>
      <c r="G118">
        <v>1021286.5544960002</v>
      </c>
    </row>
    <row r="119" spans="1:7" x14ac:dyDescent="0.35">
      <c r="A119" s="1" t="s">
        <v>117</v>
      </c>
      <c r="B119">
        <v>511056.00000000006</v>
      </c>
      <c r="C119">
        <v>52728</v>
      </c>
      <c r="D119">
        <v>112112</v>
      </c>
      <c r="E119">
        <v>112840</v>
      </c>
      <c r="F119">
        <v>19032</v>
      </c>
      <c r="G119">
        <v>581755.51699199993</v>
      </c>
    </row>
    <row r="120" spans="1:7" x14ac:dyDescent="0.35">
      <c r="A120" s="1" t="s">
        <v>118</v>
      </c>
      <c r="B120">
        <v>884520</v>
      </c>
      <c r="C120">
        <v>129792</v>
      </c>
      <c r="D120">
        <v>97240.000000000015</v>
      </c>
      <c r="E120">
        <v>96720</v>
      </c>
      <c r="F120">
        <v>19032</v>
      </c>
      <c r="G120">
        <v>633059.44748800003</v>
      </c>
    </row>
    <row r="121" spans="1:7" x14ac:dyDescent="0.35">
      <c r="A121" s="1" t="s">
        <v>119</v>
      </c>
      <c r="B121">
        <v>982800</v>
      </c>
      <c r="C121">
        <v>135200</v>
      </c>
      <c r="D121">
        <v>91520</v>
      </c>
      <c r="E121">
        <v>80600</v>
      </c>
      <c r="F121">
        <v>28547.999999999996</v>
      </c>
      <c r="G121">
        <v>271211.91468799999</v>
      </c>
    </row>
    <row r="122" spans="1:7" x14ac:dyDescent="0.35">
      <c r="A122" s="1" t="s">
        <v>120</v>
      </c>
      <c r="B122">
        <v>65520</v>
      </c>
      <c r="C122">
        <v>73008</v>
      </c>
      <c r="D122">
        <v>112112</v>
      </c>
      <c r="E122">
        <v>96720</v>
      </c>
      <c r="F122">
        <v>12688</v>
      </c>
      <c r="G122">
        <v>440948.63903999998</v>
      </c>
    </row>
    <row r="123" spans="1:7" x14ac:dyDescent="0.35">
      <c r="A123" s="1" t="s">
        <v>121</v>
      </c>
      <c r="B123">
        <v>214032</v>
      </c>
      <c r="C123">
        <v>131144</v>
      </c>
      <c r="D123">
        <v>74360</v>
      </c>
      <c r="E123">
        <v>96720</v>
      </c>
      <c r="F123">
        <v>19032</v>
      </c>
      <c r="G123">
        <v>280559.97632000002</v>
      </c>
    </row>
    <row r="124" spans="1:7" x14ac:dyDescent="0.35">
      <c r="A124" s="1" t="s">
        <v>122</v>
      </c>
      <c r="B124">
        <v>170352</v>
      </c>
      <c r="C124">
        <v>71656</v>
      </c>
      <c r="D124">
        <v>118976</v>
      </c>
      <c r="E124">
        <v>112840</v>
      </c>
      <c r="F124">
        <v>28547.999999999996</v>
      </c>
      <c r="G124">
        <v>485232.58118400001</v>
      </c>
    </row>
    <row r="125" spans="1:7" x14ac:dyDescent="0.35">
      <c r="A125" s="1" t="s">
        <v>123</v>
      </c>
      <c r="B125">
        <v>294840.00000000006</v>
      </c>
      <c r="C125">
        <v>90584.000000000015</v>
      </c>
      <c r="D125">
        <v>93808.000000000015</v>
      </c>
      <c r="E125">
        <v>80600</v>
      </c>
      <c r="F125">
        <v>12688</v>
      </c>
      <c r="G125">
        <v>507103.86355200002</v>
      </c>
    </row>
    <row r="126" spans="1:7" x14ac:dyDescent="0.35">
      <c r="A126" s="1" t="s">
        <v>124</v>
      </c>
      <c r="B126">
        <v>917280</v>
      </c>
      <c r="C126">
        <v>79768</v>
      </c>
      <c r="D126">
        <v>69784</v>
      </c>
      <c r="E126">
        <v>32240</v>
      </c>
      <c r="F126">
        <v>3172</v>
      </c>
      <c r="G126">
        <v>917643.58815999993</v>
      </c>
    </row>
    <row r="127" spans="1:7" x14ac:dyDescent="0.35">
      <c r="A127" s="1" t="s">
        <v>125</v>
      </c>
      <c r="B127">
        <v>275184</v>
      </c>
      <c r="C127">
        <v>109511.99999999999</v>
      </c>
      <c r="D127">
        <v>76648</v>
      </c>
      <c r="E127">
        <v>145080</v>
      </c>
      <c r="F127">
        <v>6344</v>
      </c>
      <c r="G127">
        <v>527439.89209600003</v>
      </c>
    </row>
    <row r="128" spans="1:7" x14ac:dyDescent="0.35">
      <c r="A128" s="1" t="s">
        <v>126</v>
      </c>
      <c r="B128">
        <v>816816</v>
      </c>
      <c r="C128">
        <v>41912.000000000015</v>
      </c>
      <c r="D128">
        <v>57200.000000000007</v>
      </c>
      <c r="E128">
        <v>96720</v>
      </c>
      <c r="F128">
        <v>31720</v>
      </c>
      <c r="G128">
        <v>909297.17798399995</v>
      </c>
    </row>
    <row r="129" spans="1:7" x14ac:dyDescent="0.35">
      <c r="A129" s="1" t="s">
        <v>127</v>
      </c>
      <c r="B129">
        <v>360360</v>
      </c>
      <c r="C129">
        <v>106808.00000000001</v>
      </c>
      <c r="D129">
        <v>77792</v>
      </c>
      <c r="E129">
        <v>32240</v>
      </c>
      <c r="F129">
        <v>22203.999999999996</v>
      </c>
      <c r="G129">
        <v>289570.108672</v>
      </c>
    </row>
    <row r="130" spans="1:7" x14ac:dyDescent="0.35">
      <c r="A130" s="1" t="s">
        <v>128</v>
      </c>
      <c r="B130">
        <v>435707.99999999994</v>
      </c>
      <c r="C130">
        <v>68952</v>
      </c>
      <c r="D130">
        <v>48048</v>
      </c>
      <c r="E130">
        <v>80600</v>
      </c>
      <c r="F130">
        <v>9516</v>
      </c>
      <c r="G130">
        <v>637124.29414400016</v>
      </c>
    </row>
    <row r="131" spans="1:7" x14ac:dyDescent="0.35">
      <c r="A131" s="1" t="s">
        <v>129</v>
      </c>
      <c r="B131">
        <v>264264</v>
      </c>
      <c r="C131">
        <v>63544.000000000007</v>
      </c>
      <c r="D131">
        <v>102960.00000000001</v>
      </c>
      <c r="E131">
        <v>128960</v>
      </c>
      <c r="F131">
        <v>9516</v>
      </c>
      <c r="G131">
        <v>284319.45568000001</v>
      </c>
    </row>
    <row r="132" spans="1:7" x14ac:dyDescent="0.35">
      <c r="A132" s="1" t="s">
        <v>130</v>
      </c>
      <c r="B132">
        <v>396396.00000000006</v>
      </c>
      <c r="C132">
        <v>81120</v>
      </c>
      <c r="D132">
        <v>123552</v>
      </c>
      <c r="E132">
        <v>128960</v>
      </c>
      <c r="F132">
        <v>19032</v>
      </c>
      <c r="G132">
        <v>772244.06604800012</v>
      </c>
    </row>
    <row r="133" spans="1:7" x14ac:dyDescent="0.35">
      <c r="A133" s="1" t="s">
        <v>131</v>
      </c>
      <c r="B133">
        <v>1184820</v>
      </c>
      <c r="C133">
        <v>91936</v>
      </c>
      <c r="D133">
        <v>49192</v>
      </c>
      <c r="E133">
        <v>32240</v>
      </c>
      <c r="F133">
        <v>19032</v>
      </c>
      <c r="G133">
        <v>304717.91916799999</v>
      </c>
    </row>
    <row r="134" spans="1:7" x14ac:dyDescent="0.35">
      <c r="A134" s="1" t="s">
        <v>132</v>
      </c>
      <c r="B134">
        <v>88452</v>
      </c>
      <c r="C134">
        <v>87880</v>
      </c>
      <c r="D134">
        <v>54912.000000000007</v>
      </c>
      <c r="E134">
        <v>64480</v>
      </c>
      <c r="F134">
        <v>15860</v>
      </c>
      <c r="G134">
        <v>541000.14009600005</v>
      </c>
    </row>
    <row r="135" spans="1:7" x14ac:dyDescent="0.35">
      <c r="A135" s="1" t="s">
        <v>133</v>
      </c>
      <c r="B135">
        <v>764400</v>
      </c>
      <c r="C135">
        <v>98696</v>
      </c>
      <c r="D135">
        <v>109824.00000000001</v>
      </c>
      <c r="E135">
        <v>96720</v>
      </c>
      <c r="F135">
        <v>6344</v>
      </c>
      <c r="G135">
        <v>728546.60153600015</v>
      </c>
    </row>
    <row r="136" spans="1:7" x14ac:dyDescent="0.35">
      <c r="A136" s="1" t="s">
        <v>134</v>
      </c>
      <c r="B136">
        <v>491400</v>
      </c>
      <c r="C136">
        <v>124384.00000000001</v>
      </c>
      <c r="D136">
        <v>134992</v>
      </c>
      <c r="E136">
        <v>48360</v>
      </c>
      <c r="F136">
        <v>31720</v>
      </c>
      <c r="G136">
        <v>392275.836992</v>
      </c>
    </row>
    <row r="137" spans="1:7" x14ac:dyDescent="0.35">
      <c r="A137" s="1" t="s">
        <v>135</v>
      </c>
      <c r="B137">
        <v>778596</v>
      </c>
      <c r="C137">
        <v>66248</v>
      </c>
      <c r="D137">
        <v>126984.00000000001</v>
      </c>
      <c r="E137">
        <v>96720</v>
      </c>
      <c r="F137">
        <v>31720</v>
      </c>
      <c r="G137">
        <v>370751.95539200003</v>
      </c>
    </row>
    <row r="138" spans="1:7" x14ac:dyDescent="0.35">
      <c r="A138" s="1" t="s">
        <v>136</v>
      </c>
      <c r="B138">
        <v>435707.99999999994</v>
      </c>
      <c r="C138">
        <v>90584.000000000015</v>
      </c>
      <c r="D138">
        <v>131560.00000000003</v>
      </c>
      <c r="E138">
        <v>64480</v>
      </c>
      <c r="F138">
        <v>22203.999999999996</v>
      </c>
      <c r="G138">
        <v>918215.69216000009</v>
      </c>
    </row>
    <row r="139" spans="1:7" x14ac:dyDescent="0.35">
      <c r="A139" s="1" t="s">
        <v>137</v>
      </c>
      <c r="B139">
        <v>288288</v>
      </c>
      <c r="C139">
        <v>132496</v>
      </c>
      <c r="D139">
        <v>68640</v>
      </c>
      <c r="E139">
        <v>32240</v>
      </c>
      <c r="F139">
        <v>9516</v>
      </c>
      <c r="G139">
        <v>389152.65376000002</v>
      </c>
    </row>
    <row r="140" spans="1:7" x14ac:dyDescent="0.35">
      <c r="A140" s="1" t="s">
        <v>138</v>
      </c>
      <c r="B140">
        <v>525252</v>
      </c>
      <c r="C140">
        <v>132496</v>
      </c>
      <c r="D140">
        <v>97240.000000000015</v>
      </c>
      <c r="E140">
        <v>32240</v>
      </c>
      <c r="F140">
        <v>25376</v>
      </c>
      <c r="G140">
        <v>741226.65593600017</v>
      </c>
    </row>
    <row r="141" spans="1:7" x14ac:dyDescent="0.35">
      <c r="A141" s="1" t="s">
        <v>139</v>
      </c>
      <c r="B141">
        <v>52416</v>
      </c>
      <c r="C141">
        <v>45968</v>
      </c>
      <c r="D141">
        <v>84656</v>
      </c>
      <c r="E141">
        <v>145080</v>
      </c>
      <c r="F141">
        <v>22203.999999999996</v>
      </c>
      <c r="G141">
        <v>899589.2963200002</v>
      </c>
    </row>
    <row r="142" spans="1:7" x14ac:dyDescent="0.35">
      <c r="A142" s="1" t="s">
        <v>140</v>
      </c>
      <c r="B142">
        <v>312312</v>
      </c>
      <c r="C142">
        <v>104104.00000000001</v>
      </c>
      <c r="D142">
        <v>66352</v>
      </c>
      <c r="E142">
        <v>112840</v>
      </c>
      <c r="F142">
        <v>15860</v>
      </c>
      <c r="G142">
        <v>806831.06982400001</v>
      </c>
    </row>
    <row r="143" spans="1:7" x14ac:dyDescent="0.35">
      <c r="A143" s="1" t="s">
        <v>141</v>
      </c>
      <c r="B143">
        <v>528528</v>
      </c>
      <c r="C143">
        <v>102751.99999999999</v>
      </c>
      <c r="D143">
        <v>107536</v>
      </c>
      <c r="E143">
        <v>32240</v>
      </c>
      <c r="F143">
        <v>19032</v>
      </c>
      <c r="G143">
        <v>977171.02496000007</v>
      </c>
    </row>
    <row r="144" spans="1:7" x14ac:dyDescent="0.35">
      <c r="A144" s="1" t="s">
        <v>142</v>
      </c>
      <c r="B144">
        <v>288288</v>
      </c>
      <c r="C144">
        <v>123031.99999999999</v>
      </c>
      <c r="D144">
        <v>60632.000000000007</v>
      </c>
      <c r="E144">
        <v>96720</v>
      </c>
      <c r="F144">
        <v>9516</v>
      </c>
      <c r="G144">
        <v>806777.59052800003</v>
      </c>
    </row>
    <row r="145" spans="1:7" x14ac:dyDescent="0.35">
      <c r="A145" s="1" t="s">
        <v>143</v>
      </c>
      <c r="B145">
        <v>1064700.0000000002</v>
      </c>
      <c r="C145">
        <v>112216</v>
      </c>
      <c r="D145">
        <v>59488</v>
      </c>
      <c r="E145">
        <v>48360</v>
      </c>
      <c r="F145">
        <v>9516</v>
      </c>
      <c r="G145">
        <v>1008452.6632960001</v>
      </c>
    </row>
    <row r="146" spans="1:7" x14ac:dyDescent="0.35">
      <c r="A146" s="1" t="s">
        <v>144</v>
      </c>
      <c r="B146">
        <v>382200</v>
      </c>
      <c r="C146">
        <v>55432.000000000007</v>
      </c>
      <c r="D146">
        <v>120120.00000000001</v>
      </c>
      <c r="E146">
        <v>16120</v>
      </c>
      <c r="F146">
        <v>31720</v>
      </c>
      <c r="G146">
        <v>282799.44160000002</v>
      </c>
    </row>
    <row r="147" spans="1:7" x14ac:dyDescent="0.35">
      <c r="A147" s="1" t="s">
        <v>145</v>
      </c>
      <c r="B147">
        <v>65520</v>
      </c>
      <c r="C147">
        <v>117624.00000000001</v>
      </c>
      <c r="D147">
        <v>105248.00000000001</v>
      </c>
      <c r="E147">
        <v>48360</v>
      </c>
      <c r="F147">
        <v>6344</v>
      </c>
      <c r="G147">
        <v>878215.27289599995</v>
      </c>
    </row>
    <row r="148" spans="1:7" x14ac:dyDescent="0.35">
      <c r="A148" s="1" t="s">
        <v>146</v>
      </c>
      <c r="B148">
        <v>216216</v>
      </c>
      <c r="C148">
        <v>98696</v>
      </c>
      <c r="D148">
        <v>118976</v>
      </c>
      <c r="E148">
        <v>48360</v>
      </c>
      <c r="F148">
        <v>28547.999999999996</v>
      </c>
      <c r="G148">
        <v>559406.02348800004</v>
      </c>
    </row>
    <row r="149" spans="1:7" x14ac:dyDescent="0.35">
      <c r="A149" s="1" t="s">
        <v>147</v>
      </c>
      <c r="B149">
        <v>995904</v>
      </c>
      <c r="C149">
        <v>60840</v>
      </c>
      <c r="D149">
        <v>48048</v>
      </c>
      <c r="E149">
        <v>80600</v>
      </c>
      <c r="F149">
        <v>15860</v>
      </c>
      <c r="G149">
        <v>398013.35808000003</v>
      </c>
    </row>
    <row r="150" spans="1:7" x14ac:dyDescent="0.35">
      <c r="A150" s="1" t="s">
        <v>148</v>
      </c>
      <c r="B150">
        <v>519792.00000000006</v>
      </c>
      <c r="C150">
        <v>100048.00000000001</v>
      </c>
      <c r="D150">
        <v>92664.000000000015</v>
      </c>
      <c r="E150">
        <v>80600</v>
      </c>
      <c r="F150">
        <v>9516</v>
      </c>
      <c r="G150">
        <v>446782.677952</v>
      </c>
    </row>
    <row r="151" spans="1:7" x14ac:dyDescent="0.35">
      <c r="A151" s="1" t="s">
        <v>149</v>
      </c>
      <c r="B151">
        <v>538356</v>
      </c>
      <c r="C151">
        <v>83824.000000000015</v>
      </c>
      <c r="D151">
        <v>134992</v>
      </c>
      <c r="E151">
        <v>145080</v>
      </c>
      <c r="F151">
        <v>19032</v>
      </c>
      <c r="G151">
        <v>893004.63366400008</v>
      </c>
    </row>
    <row r="152" spans="1:7" x14ac:dyDescent="0.35">
      <c r="A152" s="1" t="s">
        <v>150</v>
      </c>
      <c r="B152">
        <v>1447992</v>
      </c>
      <c r="C152">
        <v>62192.000000000007</v>
      </c>
      <c r="D152">
        <v>78936</v>
      </c>
      <c r="E152">
        <v>145080</v>
      </c>
      <c r="F152">
        <v>25376</v>
      </c>
      <c r="G152">
        <v>839915.10303999996</v>
      </c>
    </row>
    <row r="153" spans="1:7" x14ac:dyDescent="0.35">
      <c r="A153" s="1" t="s">
        <v>151</v>
      </c>
      <c r="B153">
        <v>414960</v>
      </c>
      <c r="C153">
        <v>85176</v>
      </c>
      <c r="D153">
        <v>98384.000000000015</v>
      </c>
      <c r="E153">
        <v>128960</v>
      </c>
      <c r="F153">
        <v>9516</v>
      </c>
      <c r="G153">
        <v>511608.91974400001</v>
      </c>
    </row>
    <row r="154" spans="1:7" x14ac:dyDescent="0.35">
      <c r="A154" s="1" t="s">
        <v>152</v>
      </c>
      <c r="B154">
        <v>672672.00000000012</v>
      </c>
      <c r="C154">
        <v>64896</v>
      </c>
      <c r="D154">
        <v>68640</v>
      </c>
      <c r="E154">
        <v>96720</v>
      </c>
      <c r="F154">
        <v>9516</v>
      </c>
      <c r="G154">
        <v>442355.14752</v>
      </c>
    </row>
    <row r="155" spans="1:7" x14ac:dyDescent="0.35">
      <c r="A155" s="1" t="s">
        <v>153</v>
      </c>
      <c r="B155">
        <v>1146600</v>
      </c>
      <c r="C155">
        <v>95991.999999999985</v>
      </c>
      <c r="D155">
        <v>83512</v>
      </c>
      <c r="E155">
        <v>96720</v>
      </c>
      <c r="F155">
        <v>3172</v>
      </c>
      <c r="G155">
        <v>499579.79801599996</v>
      </c>
    </row>
    <row r="156" spans="1:7" x14ac:dyDescent="0.35">
      <c r="A156" s="1" t="s">
        <v>154</v>
      </c>
      <c r="B156">
        <v>176904</v>
      </c>
      <c r="C156">
        <v>101400</v>
      </c>
      <c r="D156">
        <v>102960.00000000001</v>
      </c>
      <c r="E156">
        <v>96720</v>
      </c>
      <c r="F156">
        <v>19032</v>
      </c>
      <c r="G156">
        <v>903914.71788799996</v>
      </c>
    </row>
    <row r="157" spans="1:7" x14ac:dyDescent="0.35">
      <c r="A157" s="1" t="s">
        <v>155</v>
      </c>
      <c r="B157">
        <v>491400</v>
      </c>
      <c r="C157">
        <v>104104.00000000001</v>
      </c>
      <c r="D157">
        <v>53768</v>
      </c>
      <c r="E157">
        <v>112840</v>
      </c>
      <c r="F157">
        <v>12688</v>
      </c>
      <c r="G157">
        <v>711635.20563200011</v>
      </c>
    </row>
    <row r="158" spans="1:7" x14ac:dyDescent="0.35">
      <c r="A158" s="1" t="s">
        <v>156</v>
      </c>
      <c r="B158">
        <v>144144</v>
      </c>
      <c r="C158">
        <v>125736</v>
      </c>
      <c r="D158">
        <v>94952</v>
      </c>
      <c r="E158">
        <v>64480</v>
      </c>
      <c r="F158">
        <v>31720</v>
      </c>
      <c r="G158">
        <v>644014.95891200006</v>
      </c>
    </row>
    <row r="159" spans="1:7" x14ac:dyDescent="0.35">
      <c r="A159" s="1" t="s">
        <v>157</v>
      </c>
      <c r="B159">
        <v>864864.00000000012</v>
      </c>
      <c r="C159">
        <v>120328.00000000001</v>
      </c>
      <c r="D159">
        <v>51480.000000000007</v>
      </c>
      <c r="E159">
        <v>80600</v>
      </c>
      <c r="F159">
        <v>3172</v>
      </c>
      <c r="G159">
        <v>336102.35776000004</v>
      </c>
    </row>
    <row r="160" spans="1:7" x14ac:dyDescent="0.35">
      <c r="A160" s="1" t="s">
        <v>158</v>
      </c>
      <c r="B160">
        <v>125580</v>
      </c>
      <c r="C160">
        <v>54080</v>
      </c>
      <c r="D160">
        <v>80080</v>
      </c>
      <c r="E160">
        <v>48360</v>
      </c>
      <c r="F160">
        <v>25376</v>
      </c>
      <c r="G160">
        <v>868590.76678399998</v>
      </c>
    </row>
    <row r="161" spans="1:7" x14ac:dyDescent="0.35">
      <c r="A161" s="1" t="s">
        <v>159</v>
      </c>
      <c r="B161">
        <v>580944</v>
      </c>
      <c r="C161">
        <v>116271.99999999999</v>
      </c>
      <c r="D161">
        <v>100672</v>
      </c>
      <c r="E161">
        <v>128960</v>
      </c>
      <c r="F161">
        <v>28547.999999999996</v>
      </c>
      <c r="G161">
        <v>605004.87091200007</v>
      </c>
    </row>
    <row r="162" spans="1:7" x14ac:dyDescent="0.35">
      <c r="A162" s="1" t="s">
        <v>160</v>
      </c>
      <c r="B162">
        <v>524160</v>
      </c>
      <c r="C162">
        <v>64896</v>
      </c>
      <c r="D162">
        <v>98384.000000000015</v>
      </c>
      <c r="E162">
        <v>96720</v>
      </c>
      <c r="F162">
        <v>15860</v>
      </c>
      <c r="G162">
        <v>437291.99072</v>
      </c>
    </row>
    <row r="163" spans="1:7" x14ac:dyDescent="0.35">
      <c r="A163" s="1" t="s">
        <v>161</v>
      </c>
      <c r="B163">
        <v>209664</v>
      </c>
      <c r="C163">
        <v>85176</v>
      </c>
      <c r="D163">
        <v>126984.00000000001</v>
      </c>
      <c r="E163">
        <v>48360</v>
      </c>
      <c r="F163">
        <v>3172</v>
      </c>
      <c r="G163">
        <v>463712.85875200003</v>
      </c>
    </row>
    <row r="164" spans="1:7" x14ac:dyDescent="0.35">
      <c r="A164" s="1" t="s">
        <v>162</v>
      </c>
      <c r="B164">
        <v>871415.99999999988</v>
      </c>
      <c r="C164">
        <v>87880</v>
      </c>
      <c r="D164">
        <v>97240.000000000015</v>
      </c>
      <c r="E164">
        <v>80600</v>
      </c>
      <c r="F164">
        <v>9516</v>
      </c>
      <c r="G164">
        <v>635008.68787200004</v>
      </c>
    </row>
    <row r="165" spans="1:7" x14ac:dyDescent="0.35">
      <c r="A165" s="1" t="s">
        <v>163</v>
      </c>
      <c r="B165">
        <v>1223040</v>
      </c>
      <c r="C165">
        <v>85176</v>
      </c>
      <c r="D165">
        <v>65208</v>
      </c>
      <c r="E165">
        <v>48360</v>
      </c>
      <c r="F165">
        <v>28547.999999999996</v>
      </c>
      <c r="G165">
        <v>218146.87731200003</v>
      </c>
    </row>
    <row r="166" spans="1:7" x14ac:dyDescent="0.35">
      <c r="A166" s="1" t="s">
        <v>164</v>
      </c>
      <c r="B166">
        <v>471744</v>
      </c>
      <c r="C166">
        <v>118976</v>
      </c>
      <c r="D166">
        <v>81224</v>
      </c>
      <c r="E166">
        <v>48360</v>
      </c>
      <c r="F166">
        <v>9516</v>
      </c>
      <c r="G166">
        <v>908578.53964800003</v>
      </c>
    </row>
    <row r="167" spans="1:7" x14ac:dyDescent="0.35">
      <c r="A167" s="1" t="s">
        <v>165</v>
      </c>
      <c r="B167">
        <v>373463.99999999994</v>
      </c>
      <c r="C167">
        <v>114920</v>
      </c>
      <c r="D167">
        <v>101816</v>
      </c>
      <c r="E167">
        <v>16120</v>
      </c>
      <c r="F167">
        <v>9516</v>
      </c>
      <c r="G167">
        <v>823527.60755199997</v>
      </c>
    </row>
    <row r="168" spans="1:7" x14ac:dyDescent="0.35">
      <c r="A168" s="1" t="s">
        <v>166</v>
      </c>
      <c r="B168">
        <v>443352.00000000006</v>
      </c>
      <c r="C168">
        <v>59488</v>
      </c>
      <c r="D168">
        <v>91520</v>
      </c>
      <c r="E168">
        <v>128960</v>
      </c>
      <c r="F168">
        <v>3172</v>
      </c>
      <c r="G168">
        <v>856305.91155200009</v>
      </c>
    </row>
    <row r="169" spans="1:7" x14ac:dyDescent="0.35">
      <c r="A169" s="1" t="s">
        <v>167</v>
      </c>
      <c r="B169">
        <v>1153152</v>
      </c>
      <c r="C169">
        <v>48672.000000000007</v>
      </c>
      <c r="D169">
        <v>136136</v>
      </c>
      <c r="E169">
        <v>145080</v>
      </c>
      <c r="F169">
        <v>19032</v>
      </c>
      <c r="G169">
        <v>528311.70246399997</v>
      </c>
    </row>
    <row r="170" spans="1:7" x14ac:dyDescent="0.35">
      <c r="A170" s="1" t="s">
        <v>168</v>
      </c>
      <c r="B170">
        <v>710892.00000000012</v>
      </c>
      <c r="C170">
        <v>90584.000000000015</v>
      </c>
      <c r="D170">
        <v>107536</v>
      </c>
      <c r="E170">
        <v>145080</v>
      </c>
      <c r="F170">
        <v>19032</v>
      </c>
      <c r="G170">
        <v>805897.80710400012</v>
      </c>
    </row>
    <row r="171" spans="1:7" x14ac:dyDescent="0.35">
      <c r="A171" s="1" t="s">
        <v>169</v>
      </c>
      <c r="B171">
        <v>891072.00000000012</v>
      </c>
      <c r="C171">
        <v>79768</v>
      </c>
      <c r="D171">
        <v>118976</v>
      </c>
      <c r="E171">
        <v>112840</v>
      </c>
      <c r="F171">
        <v>12688</v>
      </c>
      <c r="G171">
        <v>499080.17535999999</v>
      </c>
    </row>
    <row r="172" spans="1:7" x14ac:dyDescent="0.35">
      <c r="A172" s="1" t="s">
        <v>170</v>
      </c>
      <c r="B172">
        <v>136500</v>
      </c>
      <c r="C172">
        <v>50024.000000000007</v>
      </c>
      <c r="D172">
        <v>115544.00000000001</v>
      </c>
      <c r="E172">
        <v>16120</v>
      </c>
      <c r="F172">
        <v>22203.999999999996</v>
      </c>
      <c r="G172">
        <v>1033147.8277120001</v>
      </c>
    </row>
    <row r="173" spans="1:7" x14ac:dyDescent="0.35">
      <c r="A173" s="1" t="s">
        <v>171</v>
      </c>
      <c r="B173">
        <v>792792.00000000012</v>
      </c>
      <c r="C173">
        <v>89231.999999999985</v>
      </c>
      <c r="D173">
        <v>106392</v>
      </c>
      <c r="E173">
        <v>48360</v>
      </c>
      <c r="F173">
        <v>6344</v>
      </c>
      <c r="G173">
        <v>724098.56896000006</v>
      </c>
    </row>
    <row r="174" spans="1:7" x14ac:dyDescent="0.35">
      <c r="A174" s="1" t="s">
        <v>172</v>
      </c>
      <c r="B174">
        <v>394212.00000000006</v>
      </c>
      <c r="C174">
        <v>43264.000000000007</v>
      </c>
      <c r="D174">
        <v>133848</v>
      </c>
      <c r="E174">
        <v>48360</v>
      </c>
      <c r="F174">
        <v>3172</v>
      </c>
      <c r="G174">
        <v>425160.03046400001</v>
      </c>
    </row>
    <row r="175" spans="1:7" x14ac:dyDescent="0.35">
      <c r="A175" s="1" t="s">
        <v>173</v>
      </c>
      <c r="B175">
        <v>163800</v>
      </c>
      <c r="C175">
        <v>93288.000000000015</v>
      </c>
      <c r="D175">
        <v>78936</v>
      </c>
      <c r="E175">
        <v>145080</v>
      </c>
      <c r="F175">
        <v>6344</v>
      </c>
      <c r="G175">
        <v>895142.97350400011</v>
      </c>
    </row>
    <row r="176" spans="1:7" x14ac:dyDescent="0.35">
      <c r="A176" s="1" t="s">
        <v>174</v>
      </c>
      <c r="B176">
        <v>1441440</v>
      </c>
      <c r="C176">
        <v>87880</v>
      </c>
      <c r="D176">
        <v>56056</v>
      </c>
      <c r="E176">
        <v>16120</v>
      </c>
      <c r="F176">
        <v>22203.999999999996</v>
      </c>
      <c r="G176">
        <v>823992.88025600009</v>
      </c>
    </row>
    <row r="177" spans="1:7" x14ac:dyDescent="0.35">
      <c r="A177" s="1" t="s">
        <v>175</v>
      </c>
      <c r="B177">
        <v>1375920.0000000002</v>
      </c>
      <c r="C177">
        <v>78416</v>
      </c>
      <c r="D177">
        <v>129272</v>
      </c>
      <c r="E177">
        <v>32240</v>
      </c>
      <c r="F177">
        <v>19032</v>
      </c>
      <c r="G177">
        <v>458243.54700800002</v>
      </c>
    </row>
    <row r="178" spans="1:7" x14ac:dyDescent="0.35">
      <c r="A178" s="1" t="s">
        <v>176</v>
      </c>
      <c r="B178">
        <v>409500</v>
      </c>
      <c r="C178">
        <v>60840</v>
      </c>
      <c r="D178">
        <v>83512</v>
      </c>
      <c r="E178">
        <v>64480</v>
      </c>
      <c r="F178">
        <v>9516</v>
      </c>
      <c r="G178">
        <v>674594.29273600003</v>
      </c>
    </row>
    <row r="179" spans="1:7" x14ac:dyDescent="0.35">
      <c r="A179" s="1" t="s">
        <v>177</v>
      </c>
      <c r="B179">
        <v>628992</v>
      </c>
      <c r="C179">
        <v>132496</v>
      </c>
      <c r="D179">
        <v>70928</v>
      </c>
      <c r="E179">
        <v>128960</v>
      </c>
      <c r="F179">
        <v>9516</v>
      </c>
      <c r="G179">
        <v>220519.91852800001</v>
      </c>
    </row>
    <row r="180" spans="1:7" x14ac:dyDescent="0.35">
      <c r="A180" s="1" t="s">
        <v>178</v>
      </c>
      <c r="B180">
        <v>327600</v>
      </c>
      <c r="C180">
        <v>113568.00000000001</v>
      </c>
      <c r="D180">
        <v>80080</v>
      </c>
      <c r="E180">
        <v>145080</v>
      </c>
      <c r="F180">
        <v>31720</v>
      </c>
      <c r="G180">
        <v>759043.29363199999</v>
      </c>
    </row>
    <row r="181" spans="1:7" x14ac:dyDescent="0.35">
      <c r="A181" s="1" t="s">
        <v>179</v>
      </c>
      <c r="B181">
        <v>720720</v>
      </c>
      <c r="C181">
        <v>118976</v>
      </c>
      <c r="D181">
        <v>46904.000000000007</v>
      </c>
      <c r="E181">
        <v>48360</v>
      </c>
      <c r="F181">
        <v>3172</v>
      </c>
      <c r="G181">
        <v>627626.01324800006</v>
      </c>
    </row>
    <row r="182" spans="1:7" x14ac:dyDescent="0.35">
      <c r="A182" s="1" t="s">
        <v>180</v>
      </c>
      <c r="B182">
        <v>185640</v>
      </c>
      <c r="C182">
        <v>50024</v>
      </c>
      <c r="D182">
        <v>109824.00000000001</v>
      </c>
      <c r="E182">
        <v>32240</v>
      </c>
      <c r="F182">
        <v>25376</v>
      </c>
      <c r="G182">
        <v>996236.04121599998</v>
      </c>
    </row>
    <row r="183" spans="1:7" x14ac:dyDescent="0.35">
      <c r="A183" s="1" t="s">
        <v>181</v>
      </c>
      <c r="B183">
        <v>812448</v>
      </c>
      <c r="C183">
        <v>116271.99999999999</v>
      </c>
      <c r="D183">
        <v>115544.00000000001</v>
      </c>
      <c r="E183">
        <v>96720</v>
      </c>
      <c r="F183">
        <v>6344</v>
      </c>
      <c r="G183">
        <v>556810.5628800001</v>
      </c>
    </row>
    <row r="184" spans="1:7" x14ac:dyDescent="0.35">
      <c r="A184" s="1" t="s">
        <v>182</v>
      </c>
      <c r="B184">
        <v>746927.99999999988</v>
      </c>
      <c r="C184">
        <v>40560</v>
      </c>
      <c r="D184">
        <v>116688.00000000001</v>
      </c>
      <c r="E184">
        <v>32240</v>
      </c>
      <c r="F184">
        <v>25376</v>
      </c>
      <c r="G184">
        <v>588312.552256</v>
      </c>
    </row>
    <row r="185" spans="1:7" x14ac:dyDescent="0.35">
      <c r="A185" s="1" t="s">
        <v>183</v>
      </c>
      <c r="B185">
        <v>1223040</v>
      </c>
      <c r="C185">
        <v>116271.99999999999</v>
      </c>
      <c r="D185">
        <v>98384.000000000015</v>
      </c>
      <c r="E185">
        <v>64480</v>
      </c>
      <c r="F185">
        <v>28547.999999999996</v>
      </c>
      <c r="G185">
        <v>543855.10815999995</v>
      </c>
    </row>
    <row r="186" spans="1:7" x14ac:dyDescent="0.35">
      <c r="A186" s="1" t="s">
        <v>184</v>
      </c>
      <c r="B186">
        <v>180180</v>
      </c>
      <c r="C186">
        <v>83824.000000000015</v>
      </c>
      <c r="D186">
        <v>98384.000000000015</v>
      </c>
      <c r="E186">
        <v>96720</v>
      </c>
      <c r="F186">
        <v>9516</v>
      </c>
      <c r="G186">
        <v>667997.02860800014</v>
      </c>
    </row>
    <row r="187" spans="1:7" x14ac:dyDescent="0.35">
      <c r="A187" s="1" t="s">
        <v>185</v>
      </c>
      <c r="B187">
        <v>185640</v>
      </c>
      <c r="C187">
        <v>108160</v>
      </c>
      <c r="D187">
        <v>53768</v>
      </c>
      <c r="E187">
        <v>145080</v>
      </c>
      <c r="F187">
        <v>25376</v>
      </c>
      <c r="G187">
        <v>326193.69369599997</v>
      </c>
    </row>
    <row r="188" spans="1:7" x14ac:dyDescent="0.35">
      <c r="A188" s="1" t="s">
        <v>186</v>
      </c>
      <c r="B188">
        <v>428064</v>
      </c>
      <c r="C188">
        <v>102751.99999999999</v>
      </c>
      <c r="D188">
        <v>86944.000000000015</v>
      </c>
      <c r="E188">
        <v>48360</v>
      </c>
      <c r="F188">
        <v>22203.999999999996</v>
      </c>
      <c r="G188">
        <v>430667.71487999998</v>
      </c>
    </row>
    <row r="189" spans="1:7" x14ac:dyDescent="0.35">
      <c r="A189" s="1" t="s">
        <v>187</v>
      </c>
      <c r="B189">
        <v>397487.99999999994</v>
      </c>
      <c r="C189">
        <v>135200</v>
      </c>
      <c r="D189">
        <v>60632.000000000007</v>
      </c>
      <c r="E189">
        <v>96720</v>
      </c>
      <c r="F189">
        <v>6344</v>
      </c>
      <c r="G189">
        <v>523568.73254400003</v>
      </c>
    </row>
    <row r="190" spans="1:7" x14ac:dyDescent="0.35">
      <c r="A190" s="1" t="s">
        <v>188</v>
      </c>
      <c r="B190">
        <v>114660</v>
      </c>
      <c r="C190">
        <v>123031.99999999999</v>
      </c>
      <c r="D190">
        <v>105248.00000000001</v>
      </c>
      <c r="E190">
        <v>145080</v>
      </c>
      <c r="F190">
        <v>19032</v>
      </c>
      <c r="G190">
        <v>258992.383936</v>
      </c>
    </row>
    <row r="191" spans="1:7" x14ac:dyDescent="0.35">
      <c r="A191" s="1" t="s">
        <v>189</v>
      </c>
      <c r="B191">
        <v>1262352</v>
      </c>
      <c r="C191">
        <v>82471.999999999985</v>
      </c>
      <c r="D191">
        <v>114400.00000000001</v>
      </c>
      <c r="E191">
        <v>32240</v>
      </c>
      <c r="F191">
        <v>15860</v>
      </c>
      <c r="G191">
        <v>652951.08236800006</v>
      </c>
    </row>
    <row r="192" spans="1:7" x14ac:dyDescent="0.35">
      <c r="A192" s="1" t="s">
        <v>190</v>
      </c>
      <c r="B192">
        <v>340704</v>
      </c>
      <c r="C192">
        <v>44615.999999999993</v>
      </c>
      <c r="D192">
        <v>109824.00000000001</v>
      </c>
      <c r="E192">
        <v>112840</v>
      </c>
      <c r="F192">
        <v>28547.999999999996</v>
      </c>
      <c r="G192">
        <v>703667.51686400012</v>
      </c>
    </row>
    <row r="193" spans="1:7" x14ac:dyDescent="0.35">
      <c r="A193" s="1" t="s">
        <v>191</v>
      </c>
      <c r="B193">
        <v>294840</v>
      </c>
      <c r="C193">
        <v>124384.00000000003</v>
      </c>
      <c r="D193">
        <v>61776</v>
      </c>
      <c r="E193">
        <v>16120</v>
      </c>
      <c r="F193">
        <v>25376</v>
      </c>
      <c r="G193">
        <v>313639.22636800003</v>
      </c>
    </row>
    <row r="194" spans="1:7" x14ac:dyDescent="0.35">
      <c r="A194" s="1" t="s">
        <v>192</v>
      </c>
      <c r="B194">
        <v>1013376</v>
      </c>
      <c r="C194">
        <v>127088.00000000001</v>
      </c>
      <c r="D194">
        <v>74360</v>
      </c>
      <c r="E194">
        <v>145080</v>
      </c>
      <c r="F194">
        <v>6344</v>
      </c>
      <c r="G194">
        <v>857962.31955199991</v>
      </c>
    </row>
    <row r="195" spans="1:7" x14ac:dyDescent="0.35">
      <c r="A195" s="1" t="s">
        <v>193</v>
      </c>
      <c r="B195">
        <v>127764</v>
      </c>
      <c r="C195">
        <v>133848</v>
      </c>
      <c r="D195">
        <v>136136</v>
      </c>
      <c r="E195">
        <v>32240</v>
      </c>
      <c r="F195">
        <v>22203.999999999996</v>
      </c>
      <c r="G195">
        <v>861068.6880640001</v>
      </c>
    </row>
    <row r="196" spans="1:7" x14ac:dyDescent="0.35">
      <c r="A196" s="1" t="s">
        <v>194</v>
      </c>
      <c r="B196">
        <v>803712.00000000012</v>
      </c>
      <c r="C196">
        <v>132496</v>
      </c>
      <c r="D196">
        <v>129272</v>
      </c>
      <c r="E196">
        <v>32240</v>
      </c>
      <c r="F196">
        <v>3172</v>
      </c>
      <c r="G196">
        <v>532037.71795199998</v>
      </c>
    </row>
    <row r="197" spans="1:7" x14ac:dyDescent="0.35">
      <c r="A197" s="1" t="s">
        <v>195</v>
      </c>
      <c r="B197">
        <v>1153152</v>
      </c>
      <c r="C197">
        <v>81120</v>
      </c>
      <c r="D197">
        <v>46904</v>
      </c>
      <c r="E197">
        <v>112840</v>
      </c>
      <c r="F197">
        <v>6344</v>
      </c>
      <c r="G197">
        <v>224210.81862400001</v>
      </c>
    </row>
    <row r="198" spans="1:7" x14ac:dyDescent="0.35">
      <c r="A198" s="1" t="s">
        <v>196</v>
      </c>
      <c r="B198">
        <v>131040</v>
      </c>
      <c r="C198">
        <v>43264.000000000007</v>
      </c>
      <c r="D198">
        <v>50336</v>
      </c>
      <c r="E198">
        <v>48360</v>
      </c>
      <c r="F198">
        <v>22203.999999999996</v>
      </c>
      <c r="G198">
        <v>397238.71782399999</v>
      </c>
    </row>
    <row r="199" spans="1:7" x14ac:dyDescent="0.35">
      <c r="A199" s="1" t="s">
        <v>197</v>
      </c>
      <c r="B199">
        <v>96096</v>
      </c>
      <c r="C199">
        <v>86528.000000000015</v>
      </c>
      <c r="D199">
        <v>114400.00000000001</v>
      </c>
      <c r="E199">
        <v>145080</v>
      </c>
      <c r="F199">
        <v>28547.999999999996</v>
      </c>
      <c r="G199">
        <v>860070.19072000007</v>
      </c>
    </row>
    <row r="200" spans="1:7" x14ac:dyDescent="0.35">
      <c r="A200" s="1" t="s">
        <v>198</v>
      </c>
      <c r="B200">
        <v>183456.00000000003</v>
      </c>
      <c r="C200">
        <v>109511.99999999999</v>
      </c>
      <c r="D200">
        <v>128128.00000000001</v>
      </c>
      <c r="E200">
        <v>128960</v>
      </c>
      <c r="F200">
        <v>25376</v>
      </c>
      <c r="G200">
        <v>962551.10016000003</v>
      </c>
    </row>
    <row r="201" spans="1:7" x14ac:dyDescent="0.35">
      <c r="A201" s="1" t="s">
        <v>199</v>
      </c>
      <c r="B201">
        <v>78624</v>
      </c>
      <c r="C201">
        <v>70304</v>
      </c>
      <c r="D201">
        <v>90376</v>
      </c>
      <c r="E201">
        <v>64480</v>
      </c>
      <c r="F201">
        <v>3172</v>
      </c>
      <c r="G201">
        <v>667378.68287999998</v>
      </c>
    </row>
    <row r="202" spans="1:7" x14ac:dyDescent="0.35">
      <c r="A202" s="1" t="s">
        <v>200</v>
      </c>
      <c r="B202">
        <v>43680</v>
      </c>
      <c r="C202">
        <v>112216</v>
      </c>
      <c r="D202">
        <v>98384.000000000015</v>
      </c>
      <c r="E202">
        <v>64480</v>
      </c>
      <c r="F202">
        <v>28547.999999999996</v>
      </c>
      <c r="G202">
        <v>647726.10988800006</v>
      </c>
    </row>
    <row r="203" spans="1:7" x14ac:dyDescent="0.35">
      <c r="A203" s="1" t="s">
        <v>201</v>
      </c>
      <c r="B203">
        <v>207480</v>
      </c>
      <c r="C203">
        <v>52728</v>
      </c>
      <c r="D203">
        <v>70928</v>
      </c>
      <c r="E203">
        <v>96720</v>
      </c>
      <c r="F203">
        <v>12688</v>
      </c>
      <c r="G203">
        <v>926108.87865600002</v>
      </c>
    </row>
    <row r="204" spans="1:7" x14ac:dyDescent="0.35">
      <c r="A204" s="1" t="s">
        <v>202</v>
      </c>
      <c r="B204">
        <v>92820</v>
      </c>
      <c r="C204">
        <v>98696</v>
      </c>
      <c r="D204">
        <v>67496</v>
      </c>
      <c r="E204">
        <v>16120</v>
      </c>
      <c r="F204">
        <v>22203.999999999996</v>
      </c>
      <c r="G204">
        <v>494469.75302400003</v>
      </c>
    </row>
    <row r="205" spans="1:7" x14ac:dyDescent="0.35">
      <c r="A205" s="1" t="s">
        <v>203</v>
      </c>
      <c r="B205">
        <v>1299480</v>
      </c>
      <c r="C205">
        <v>54080</v>
      </c>
      <c r="D205">
        <v>114400.00000000001</v>
      </c>
      <c r="E205">
        <v>128960</v>
      </c>
      <c r="F205">
        <v>12688</v>
      </c>
      <c r="G205">
        <v>1036135.5929599998</v>
      </c>
    </row>
    <row r="206" spans="1:7" x14ac:dyDescent="0.35">
      <c r="A206" s="1" t="s">
        <v>204</v>
      </c>
      <c r="B206">
        <v>594048</v>
      </c>
      <c r="C206">
        <v>74360</v>
      </c>
      <c r="D206">
        <v>58344.000000000007</v>
      </c>
      <c r="E206">
        <v>16120</v>
      </c>
      <c r="F206">
        <v>31720</v>
      </c>
      <c r="G206">
        <v>679771.2155520001</v>
      </c>
    </row>
    <row r="207" spans="1:7" x14ac:dyDescent="0.35">
      <c r="A207" s="1" t="s">
        <v>205</v>
      </c>
      <c r="B207">
        <v>1184820.0000000002</v>
      </c>
      <c r="C207">
        <v>135200</v>
      </c>
      <c r="D207">
        <v>53768</v>
      </c>
      <c r="E207">
        <v>32240</v>
      </c>
      <c r="F207">
        <v>25376</v>
      </c>
      <c r="G207">
        <v>590709.48435200006</v>
      </c>
    </row>
    <row r="208" spans="1:7" x14ac:dyDescent="0.35">
      <c r="A208" s="1" t="s">
        <v>206</v>
      </c>
      <c r="B208">
        <v>301392</v>
      </c>
      <c r="C208">
        <v>114920</v>
      </c>
      <c r="D208">
        <v>102960.00000000001</v>
      </c>
      <c r="E208">
        <v>145080</v>
      </c>
      <c r="F208">
        <v>28547.999999999996</v>
      </c>
      <c r="G208">
        <v>672873.59027200006</v>
      </c>
    </row>
    <row r="209" spans="1:7" x14ac:dyDescent="0.35">
      <c r="A209" s="1" t="s">
        <v>207</v>
      </c>
      <c r="B209">
        <v>950040.00000000012</v>
      </c>
      <c r="C209">
        <v>74360</v>
      </c>
      <c r="D209">
        <v>72072</v>
      </c>
      <c r="E209">
        <v>64480</v>
      </c>
      <c r="F209">
        <v>31720</v>
      </c>
      <c r="G209">
        <v>467709.31667199999</v>
      </c>
    </row>
    <row r="210" spans="1:7" x14ac:dyDescent="0.35">
      <c r="A210" s="1" t="s">
        <v>208</v>
      </c>
      <c r="B210">
        <v>426972.00000000006</v>
      </c>
      <c r="C210">
        <v>55432.000000000007</v>
      </c>
      <c r="D210">
        <v>97240.000000000015</v>
      </c>
      <c r="E210">
        <v>96720</v>
      </c>
      <c r="F210">
        <v>19032</v>
      </c>
      <c r="G210">
        <v>852917.58656000008</v>
      </c>
    </row>
    <row r="211" spans="1:7" x14ac:dyDescent="0.35">
      <c r="A211" s="1" t="s">
        <v>209</v>
      </c>
      <c r="B211">
        <v>78624</v>
      </c>
      <c r="C211">
        <v>85176</v>
      </c>
      <c r="D211">
        <v>92664.000000000015</v>
      </c>
      <c r="E211">
        <v>32240</v>
      </c>
      <c r="F211">
        <v>22203.999999999996</v>
      </c>
      <c r="G211">
        <v>245781.85715199995</v>
      </c>
    </row>
    <row r="212" spans="1:7" x14ac:dyDescent="0.35">
      <c r="A212" s="1" t="s">
        <v>210</v>
      </c>
      <c r="B212">
        <v>803712.00000000012</v>
      </c>
      <c r="C212">
        <v>55432.000000000007</v>
      </c>
      <c r="D212">
        <v>107536</v>
      </c>
      <c r="E212">
        <v>80600</v>
      </c>
      <c r="F212">
        <v>19032</v>
      </c>
      <c r="G212">
        <v>398508.48460800003</v>
      </c>
    </row>
    <row r="213" spans="1:7" x14ac:dyDescent="0.35">
      <c r="A213" s="1" t="s">
        <v>211</v>
      </c>
      <c r="B213">
        <v>737100</v>
      </c>
      <c r="C213">
        <v>110864.00000000001</v>
      </c>
      <c r="D213">
        <v>99528.000000000015</v>
      </c>
      <c r="E213">
        <v>145080</v>
      </c>
      <c r="F213">
        <v>28547.999999999996</v>
      </c>
      <c r="G213">
        <v>252475.97190400003</v>
      </c>
    </row>
    <row r="214" spans="1:7" x14ac:dyDescent="0.35">
      <c r="A214" s="1" t="s">
        <v>212</v>
      </c>
      <c r="B214">
        <v>275184</v>
      </c>
      <c r="C214">
        <v>97344.000000000015</v>
      </c>
      <c r="D214">
        <v>114400.00000000001</v>
      </c>
      <c r="E214">
        <v>80600</v>
      </c>
      <c r="F214">
        <v>22203.999999999996</v>
      </c>
      <c r="G214">
        <v>499337.61612800002</v>
      </c>
    </row>
    <row r="215" spans="1:7" x14ac:dyDescent="0.35">
      <c r="A215" s="1" t="s">
        <v>213</v>
      </c>
      <c r="B215">
        <v>796068</v>
      </c>
      <c r="C215">
        <v>121680</v>
      </c>
      <c r="D215">
        <v>136136</v>
      </c>
      <c r="E215">
        <v>112840</v>
      </c>
      <c r="F215">
        <v>22203.999999999996</v>
      </c>
      <c r="G215">
        <v>871955.46963199996</v>
      </c>
    </row>
    <row r="216" spans="1:7" x14ac:dyDescent="0.35">
      <c r="A216" s="1" t="s">
        <v>214</v>
      </c>
      <c r="B216">
        <v>147420</v>
      </c>
      <c r="C216">
        <v>60840</v>
      </c>
      <c r="D216">
        <v>120120.00000000001</v>
      </c>
      <c r="E216">
        <v>48360</v>
      </c>
      <c r="F216">
        <v>31720</v>
      </c>
      <c r="G216">
        <v>944433.14867200004</v>
      </c>
    </row>
    <row r="217" spans="1:7" x14ac:dyDescent="0.35">
      <c r="A217" s="1" t="s">
        <v>215</v>
      </c>
      <c r="B217">
        <v>846300.00000000012</v>
      </c>
      <c r="C217">
        <v>110864.00000000001</v>
      </c>
      <c r="D217">
        <v>85800</v>
      </c>
      <c r="E217">
        <v>128960</v>
      </c>
      <c r="F217">
        <v>25376</v>
      </c>
      <c r="G217">
        <v>847724.53043200006</v>
      </c>
    </row>
    <row r="218" spans="1:7" x14ac:dyDescent="0.35">
      <c r="A218" s="1" t="s">
        <v>216</v>
      </c>
      <c r="B218">
        <v>707616</v>
      </c>
      <c r="C218">
        <v>54080</v>
      </c>
      <c r="D218">
        <v>128128.00000000001</v>
      </c>
      <c r="E218">
        <v>48360</v>
      </c>
      <c r="F218">
        <v>28547.999999999996</v>
      </c>
      <c r="G218">
        <v>671749.85030399996</v>
      </c>
    </row>
    <row r="219" spans="1:7" x14ac:dyDescent="0.35">
      <c r="A219" s="1" t="s">
        <v>217</v>
      </c>
      <c r="B219">
        <v>1037400</v>
      </c>
      <c r="C219">
        <v>75712</v>
      </c>
      <c r="D219">
        <v>48048</v>
      </c>
      <c r="E219">
        <v>145080</v>
      </c>
      <c r="F219">
        <v>3172</v>
      </c>
      <c r="G219">
        <v>414658.39750399999</v>
      </c>
    </row>
    <row r="220" spans="1:7" x14ac:dyDescent="0.35">
      <c r="A220" s="1" t="s">
        <v>218</v>
      </c>
      <c r="B220">
        <v>794975.99999999988</v>
      </c>
      <c r="C220">
        <v>45968</v>
      </c>
      <c r="D220">
        <v>99528.000000000015</v>
      </c>
      <c r="E220">
        <v>80600</v>
      </c>
      <c r="F220">
        <v>9516</v>
      </c>
      <c r="G220">
        <v>892997.11904000002</v>
      </c>
    </row>
    <row r="221" spans="1:7" x14ac:dyDescent="0.35">
      <c r="A221" s="1" t="s">
        <v>219</v>
      </c>
      <c r="B221">
        <v>809172.00000000012</v>
      </c>
      <c r="C221">
        <v>82471.999999999985</v>
      </c>
      <c r="D221">
        <v>117832</v>
      </c>
      <c r="E221">
        <v>128960</v>
      </c>
      <c r="F221">
        <v>6344</v>
      </c>
      <c r="G221">
        <v>363709.98976000003</v>
      </c>
    </row>
    <row r="222" spans="1:7" x14ac:dyDescent="0.35">
      <c r="A222" s="1" t="s">
        <v>220</v>
      </c>
      <c r="B222">
        <v>218400</v>
      </c>
      <c r="C222">
        <v>98696</v>
      </c>
      <c r="D222">
        <v>129272</v>
      </c>
      <c r="E222">
        <v>112840</v>
      </c>
      <c r="F222">
        <v>28547.999999999996</v>
      </c>
      <c r="G222">
        <v>730552.14752000012</v>
      </c>
    </row>
    <row r="223" spans="1:7" x14ac:dyDescent="0.35">
      <c r="A223" s="1" t="s">
        <v>221</v>
      </c>
      <c r="B223">
        <v>853944.00000000012</v>
      </c>
      <c r="C223">
        <v>82471.999999999985</v>
      </c>
      <c r="D223">
        <v>117832</v>
      </c>
      <c r="E223">
        <v>16120</v>
      </c>
      <c r="F223">
        <v>9516</v>
      </c>
      <c r="G223">
        <v>541654.56134400005</v>
      </c>
    </row>
    <row r="224" spans="1:7" x14ac:dyDescent="0.35">
      <c r="A224" s="1" t="s">
        <v>222</v>
      </c>
      <c r="B224">
        <v>491400</v>
      </c>
      <c r="C224">
        <v>41912.000000000007</v>
      </c>
      <c r="D224">
        <v>75504</v>
      </c>
      <c r="E224">
        <v>64480</v>
      </c>
      <c r="F224">
        <v>3172</v>
      </c>
      <c r="G224">
        <v>630028.20275200007</v>
      </c>
    </row>
    <row r="225" spans="1:7" x14ac:dyDescent="0.35">
      <c r="A225" s="1" t="s">
        <v>223</v>
      </c>
      <c r="B225">
        <v>300300</v>
      </c>
      <c r="C225">
        <v>116271.99999999997</v>
      </c>
      <c r="D225">
        <v>110968.00000000001</v>
      </c>
      <c r="E225">
        <v>145080</v>
      </c>
      <c r="F225">
        <v>25376</v>
      </c>
      <c r="G225">
        <v>949372.49804800015</v>
      </c>
    </row>
    <row r="226" spans="1:7" x14ac:dyDescent="0.35">
      <c r="A226" s="1" t="s">
        <v>224</v>
      </c>
      <c r="B226">
        <v>305760</v>
      </c>
      <c r="C226">
        <v>108160</v>
      </c>
      <c r="D226">
        <v>118976</v>
      </c>
      <c r="E226">
        <v>96720</v>
      </c>
      <c r="F226">
        <v>3172</v>
      </c>
      <c r="G226">
        <v>505683.26515200001</v>
      </c>
    </row>
    <row r="227" spans="1:7" x14ac:dyDescent="0.35">
      <c r="A227" s="1" t="s">
        <v>225</v>
      </c>
      <c r="B227">
        <v>458640</v>
      </c>
      <c r="C227">
        <v>109511.99999999999</v>
      </c>
      <c r="D227">
        <v>67496</v>
      </c>
      <c r="E227">
        <v>112840</v>
      </c>
      <c r="F227">
        <v>31720</v>
      </c>
      <c r="G227">
        <v>889782.39750400011</v>
      </c>
    </row>
    <row r="228" spans="1:7" x14ac:dyDescent="0.35">
      <c r="A228" s="1" t="s">
        <v>226</v>
      </c>
      <c r="B228">
        <v>879060.00000000012</v>
      </c>
      <c r="C228">
        <v>106808.00000000001</v>
      </c>
      <c r="D228">
        <v>107536</v>
      </c>
      <c r="E228">
        <v>16120</v>
      </c>
      <c r="F228">
        <v>6344</v>
      </c>
      <c r="G228">
        <v>744801.53695999994</v>
      </c>
    </row>
    <row r="229" spans="1:7" x14ac:dyDescent="0.35">
      <c r="A229" s="1" t="s">
        <v>227</v>
      </c>
      <c r="B229">
        <v>360360</v>
      </c>
      <c r="C229">
        <v>70304</v>
      </c>
      <c r="D229">
        <v>50336</v>
      </c>
      <c r="E229">
        <v>96720</v>
      </c>
      <c r="F229">
        <v>9516</v>
      </c>
      <c r="G229">
        <v>555877.68537600001</v>
      </c>
    </row>
    <row r="230" spans="1:7" x14ac:dyDescent="0.35">
      <c r="A230" s="1" t="s">
        <v>228</v>
      </c>
      <c r="B230">
        <v>174720</v>
      </c>
      <c r="C230">
        <v>51375.999999999993</v>
      </c>
      <c r="D230">
        <v>134992</v>
      </c>
      <c r="E230">
        <v>32240</v>
      </c>
      <c r="F230">
        <v>19032</v>
      </c>
      <c r="G230">
        <v>346273.46540800005</v>
      </c>
    </row>
    <row r="231" spans="1:7" x14ac:dyDescent="0.35">
      <c r="A231" s="1" t="s">
        <v>229</v>
      </c>
      <c r="B231">
        <v>840840</v>
      </c>
      <c r="C231">
        <v>68952</v>
      </c>
      <c r="D231">
        <v>81224</v>
      </c>
      <c r="E231">
        <v>80600</v>
      </c>
      <c r="F231">
        <v>31720</v>
      </c>
      <c r="G231">
        <v>403660.18451199995</v>
      </c>
    </row>
    <row r="232" spans="1:7" x14ac:dyDescent="0.35">
      <c r="A232" s="1" t="s">
        <v>230</v>
      </c>
      <c r="B232">
        <v>524160</v>
      </c>
      <c r="C232">
        <v>121680</v>
      </c>
      <c r="D232">
        <v>126984.00000000001</v>
      </c>
      <c r="E232">
        <v>112840</v>
      </c>
      <c r="F232">
        <v>28547.999999999996</v>
      </c>
      <c r="G232">
        <v>790260.45612800005</v>
      </c>
    </row>
    <row r="233" spans="1:7" x14ac:dyDescent="0.35">
      <c r="A233" s="1" t="s">
        <v>231</v>
      </c>
      <c r="B233">
        <v>255528</v>
      </c>
      <c r="C233">
        <v>71656</v>
      </c>
      <c r="D233">
        <v>85800</v>
      </c>
      <c r="E233">
        <v>96720</v>
      </c>
      <c r="F233">
        <v>19032</v>
      </c>
      <c r="G233">
        <v>796603.74809600005</v>
      </c>
    </row>
    <row r="234" spans="1:7" x14ac:dyDescent="0.35">
      <c r="A234" s="1" t="s">
        <v>232</v>
      </c>
      <c r="B234">
        <v>611520</v>
      </c>
      <c r="C234">
        <v>64896</v>
      </c>
      <c r="D234">
        <v>48048</v>
      </c>
      <c r="E234">
        <v>32240</v>
      </c>
      <c r="F234">
        <v>25376</v>
      </c>
      <c r="G234">
        <v>829542.53241600003</v>
      </c>
    </row>
    <row r="235" spans="1:7" x14ac:dyDescent="0.35">
      <c r="A235" s="1" t="s">
        <v>233</v>
      </c>
      <c r="B235">
        <v>1070160</v>
      </c>
      <c r="C235">
        <v>52728</v>
      </c>
      <c r="D235">
        <v>97240.000000000015</v>
      </c>
      <c r="E235">
        <v>128960</v>
      </c>
      <c r="F235">
        <v>28547.999999999996</v>
      </c>
      <c r="G235">
        <v>785783.13798400003</v>
      </c>
    </row>
    <row r="236" spans="1:7" x14ac:dyDescent="0.35">
      <c r="A236" s="1" t="s">
        <v>234</v>
      </c>
      <c r="B236">
        <v>104832</v>
      </c>
      <c r="C236">
        <v>95991.999999999985</v>
      </c>
      <c r="D236">
        <v>53768</v>
      </c>
      <c r="E236">
        <v>16120</v>
      </c>
      <c r="F236">
        <v>9516</v>
      </c>
      <c r="G236">
        <v>304599.97651199996</v>
      </c>
    </row>
    <row r="237" spans="1:7" x14ac:dyDescent="0.35">
      <c r="A237" s="1" t="s">
        <v>235</v>
      </c>
      <c r="B237">
        <v>1485120</v>
      </c>
      <c r="C237">
        <v>48672.000000000007</v>
      </c>
      <c r="D237">
        <v>65208</v>
      </c>
      <c r="E237">
        <v>32240</v>
      </c>
      <c r="F237">
        <v>9516</v>
      </c>
      <c r="G237">
        <v>706917.18240000005</v>
      </c>
    </row>
    <row r="238" spans="1:7" x14ac:dyDescent="0.35">
      <c r="A238" s="1" t="s">
        <v>236</v>
      </c>
      <c r="B238">
        <v>947856</v>
      </c>
      <c r="C238">
        <v>105456</v>
      </c>
      <c r="D238">
        <v>76648</v>
      </c>
      <c r="E238">
        <v>32240</v>
      </c>
      <c r="F238">
        <v>9516</v>
      </c>
      <c r="G238">
        <v>981544.03110400017</v>
      </c>
    </row>
    <row r="239" spans="1:7" x14ac:dyDescent="0.35">
      <c r="A239" s="1" t="s">
        <v>237</v>
      </c>
      <c r="B239">
        <v>175812</v>
      </c>
      <c r="C239">
        <v>60840</v>
      </c>
      <c r="D239">
        <v>57200.000000000007</v>
      </c>
      <c r="E239">
        <v>128960</v>
      </c>
      <c r="F239">
        <v>31720</v>
      </c>
      <c r="G239">
        <v>505182.37702400004</v>
      </c>
    </row>
    <row r="240" spans="1:7" x14ac:dyDescent="0.35">
      <c r="A240" s="1" t="s">
        <v>238</v>
      </c>
      <c r="B240">
        <v>183456.00000000003</v>
      </c>
      <c r="C240">
        <v>101400</v>
      </c>
      <c r="D240">
        <v>110968.00000000001</v>
      </c>
      <c r="E240">
        <v>128960</v>
      </c>
      <c r="F240">
        <v>3172</v>
      </c>
      <c r="G240">
        <v>900790.54208000004</v>
      </c>
    </row>
    <row r="241" spans="1:7" x14ac:dyDescent="0.35">
      <c r="A241" s="1" t="s">
        <v>239</v>
      </c>
      <c r="B241">
        <v>251160</v>
      </c>
      <c r="C241">
        <v>125736</v>
      </c>
      <c r="D241">
        <v>112112</v>
      </c>
      <c r="E241">
        <v>32240</v>
      </c>
      <c r="F241">
        <v>22203.999999999996</v>
      </c>
      <c r="G241">
        <v>447200.66143999994</v>
      </c>
    </row>
    <row r="242" spans="1:7" x14ac:dyDescent="0.35">
      <c r="A242" s="1" t="s">
        <v>240</v>
      </c>
      <c r="B242">
        <v>200928.00000000003</v>
      </c>
      <c r="C242">
        <v>75712</v>
      </c>
      <c r="D242">
        <v>98384.000000000015</v>
      </c>
      <c r="E242">
        <v>32240</v>
      </c>
      <c r="F242">
        <v>3172</v>
      </c>
      <c r="G242">
        <v>790348.872768</v>
      </c>
    </row>
    <row r="243" spans="1:7" x14ac:dyDescent="0.35">
      <c r="A243" s="1" t="s">
        <v>241</v>
      </c>
      <c r="B243">
        <v>163800.00000000003</v>
      </c>
      <c r="C243">
        <v>66248</v>
      </c>
      <c r="D243">
        <v>82368.000000000015</v>
      </c>
      <c r="E243">
        <v>64480</v>
      </c>
      <c r="F243">
        <v>22203.999999999996</v>
      </c>
      <c r="G243">
        <v>324446.52947200002</v>
      </c>
    </row>
    <row r="244" spans="1:7" x14ac:dyDescent="0.35">
      <c r="A244" s="1" t="s">
        <v>242</v>
      </c>
      <c r="B244">
        <v>559104</v>
      </c>
      <c r="C244">
        <v>70304</v>
      </c>
      <c r="D244">
        <v>60632.000000000007</v>
      </c>
      <c r="E244">
        <v>145080</v>
      </c>
      <c r="F244">
        <v>19032</v>
      </c>
      <c r="G244">
        <v>697456.19923200016</v>
      </c>
    </row>
    <row r="245" spans="1:7" x14ac:dyDescent="0.35">
      <c r="A245" s="1" t="s">
        <v>243</v>
      </c>
      <c r="B245">
        <v>631176</v>
      </c>
      <c r="C245">
        <v>105456</v>
      </c>
      <c r="D245">
        <v>108680.00000000001</v>
      </c>
      <c r="E245">
        <v>80600</v>
      </c>
      <c r="F245">
        <v>25376</v>
      </c>
      <c r="G245">
        <v>1014143.9335040001</v>
      </c>
    </row>
    <row r="246" spans="1:7" x14ac:dyDescent="0.35">
      <c r="A246" s="1" t="s">
        <v>244</v>
      </c>
      <c r="B246">
        <v>707616</v>
      </c>
      <c r="C246">
        <v>67600</v>
      </c>
      <c r="D246">
        <v>123552</v>
      </c>
      <c r="E246">
        <v>32240</v>
      </c>
      <c r="F246">
        <v>3172</v>
      </c>
      <c r="G246">
        <v>622314.47699200001</v>
      </c>
    </row>
    <row r="247" spans="1:7" x14ac:dyDescent="0.35">
      <c r="A247" s="1" t="s">
        <v>245</v>
      </c>
      <c r="B247">
        <v>1108380</v>
      </c>
      <c r="C247">
        <v>81120</v>
      </c>
      <c r="D247">
        <v>74360</v>
      </c>
      <c r="E247">
        <v>32240</v>
      </c>
      <c r="F247">
        <v>22203.999999999996</v>
      </c>
      <c r="G247">
        <v>275955.94790400006</v>
      </c>
    </row>
    <row r="248" spans="1:7" x14ac:dyDescent="0.35">
      <c r="A248" s="1" t="s">
        <v>246</v>
      </c>
      <c r="B248">
        <v>982800</v>
      </c>
      <c r="C248">
        <v>129792</v>
      </c>
      <c r="D248">
        <v>51480.000000000007</v>
      </c>
      <c r="E248">
        <v>48360</v>
      </c>
      <c r="F248">
        <v>28547.999999999996</v>
      </c>
      <c r="G248">
        <v>684918.04076800006</v>
      </c>
    </row>
    <row r="249" spans="1:7" x14ac:dyDescent="0.35">
      <c r="A249" s="1" t="s">
        <v>247</v>
      </c>
      <c r="B249">
        <v>764400</v>
      </c>
      <c r="C249">
        <v>129792</v>
      </c>
      <c r="D249">
        <v>76648</v>
      </c>
      <c r="E249">
        <v>64480</v>
      </c>
      <c r="F249">
        <v>31720</v>
      </c>
      <c r="G249">
        <v>802803.255488</v>
      </c>
    </row>
    <row r="250" spans="1:7" x14ac:dyDescent="0.35">
      <c r="A250" s="1" t="s">
        <v>248</v>
      </c>
      <c r="B250">
        <v>471744</v>
      </c>
      <c r="C250">
        <v>83824.000000000015</v>
      </c>
      <c r="D250">
        <v>69784</v>
      </c>
      <c r="E250">
        <v>145080</v>
      </c>
      <c r="F250">
        <v>15860</v>
      </c>
      <c r="G250">
        <v>936282.71692799998</v>
      </c>
    </row>
    <row r="251" spans="1:7" x14ac:dyDescent="0.35">
      <c r="A251" s="1" t="s">
        <v>249</v>
      </c>
      <c r="B251">
        <v>851760</v>
      </c>
      <c r="C251">
        <v>75712</v>
      </c>
      <c r="D251">
        <v>70928</v>
      </c>
      <c r="E251">
        <v>64480</v>
      </c>
      <c r="F251">
        <v>9516</v>
      </c>
      <c r="G251">
        <v>795281.15929599991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A9EFD-81FA-4344-89E6-8A206D224AF8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733823.99999999988</v>
      </c>
      <c r="C2">
        <v>52728</v>
      </c>
      <c r="D2">
        <v>42587.999999999993</v>
      </c>
      <c r="E2">
        <v>32240</v>
      </c>
      <c r="F2">
        <v>9516</v>
      </c>
      <c r="G2">
        <v>460528.57308854331</v>
      </c>
    </row>
    <row r="3" spans="1:7" x14ac:dyDescent="0.35">
      <c r="A3" s="1" t="s">
        <v>1</v>
      </c>
      <c r="B3">
        <v>161460</v>
      </c>
      <c r="C3">
        <v>75712</v>
      </c>
      <c r="D3">
        <v>69784</v>
      </c>
      <c r="E3">
        <v>48360</v>
      </c>
      <c r="F3">
        <v>19032</v>
      </c>
      <c r="G3">
        <v>299929.58611199999</v>
      </c>
    </row>
    <row r="4" spans="1:7" x14ac:dyDescent="0.35">
      <c r="A4" s="1" t="s">
        <v>2</v>
      </c>
      <c r="B4">
        <v>513676.79999999993</v>
      </c>
      <c r="C4">
        <v>100048</v>
      </c>
      <c r="D4">
        <v>70928</v>
      </c>
      <c r="E4">
        <v>16120</v>
      </c>
      <c r="F4">
        <v>6344</v>
      </c>
      <c r="G4">
        <v>297478.59369113785</v>
      </c>
    </row>
    <row r="5" spans="1:7" x14ac:dyDescent="0.35">
      <c r="A5" s="1" t="s">
        <v>3</v>
      </c>
      <c r="B5">
        <v>114192</v>
      </c>
      <c r="C5">
        <v>39104</v>
      </c>
      <c r="D5">
        <v>34320</v>
      </c>
      <c r="E5">
        <v>145080</v>
      </c>
      <c r="F5">
        <v>12688</v>
      </c>
      <c r="G5">
        <v>388785.7741773905</v>
      </c>
    </row>
    <row r="6" spans="1:7" x14ac:dyDescent="0.35">
      <c r="A6" s="1" t="s">
        <v>4</v>
      </c>
      <c r="B6">
        <v>594048</v>
      </c>
      <c r="C6">
        <v>135200</v>
      </c>
      <c r="D6">
        <v>47361.599999999999</v>
      </c>
      <c r="E6">
        <v>64480</v>
      </c>
      <c r="F6">
        <v>25376</v>
      </c>
      <c r="G6">
        <v>471665.83692799998</v>
      </c>
    </row>
    <row r="7" spans="1:7" x14ac:dyDescent="0.35">
      <c r="A7" s="1" t="s">
        <v>5</v>
      </c>
      <c r="B7">
        <v>102211.20000000001</v>
      </c>
      <c r="C7">
        <v>129792</v>
      </c>
      <c r="D7">
        <v>50793.599999999999</v>
      </c>
      <c r="E7">
        <v>32240</v>
      </c>
      <c r="F7">
        <v>7612.7999999999993</v>
      </c>
      <c r="G7">
        <v>537573.01145599992</v>
      </c>
    </row>
    <row r="8" spans="1:7" x14ac:dyDescent="0.35">
      <c r="A8" s="1" t="s">
        <v>6</v>
      </c>
      <c r="B8">
        <v>90417.599999999991</v>
      </c>
      <c r="C8">
        <v>114920</v>
      </c>
      <c r="D8">
        <v>132704</v>
      </c>
      <c r="E8">
        <v>96720</v>
      </c>
      <c r="F8">
        <v>22204</v>
      </c>
      <c r="G8">
        <v>704336.37580799998</v>
      </c>
    </row>
    <row r="9" spans="1:7" x14ac:dyDescent="0.35">
      <c r="A9" s="1" t="s">
        <v>7</v>
      </c>
      <c r="B9">
        <v>47174.399999999987</v>
      </c>
      <c r="C9">
        <v>59488</v>
      </c>
      <c r="D9">
        <v>27611.999999999996</v>
      </c>
      <c r="E9">
        <v>96720</v>
      </c>
      <c r="F9">
        <v>15225.599999999999</v>
      </c>
      <c r="G9">
        <v>341368.92910350813</v>
      </c>
    </row>
    <row r="10" spans="1:7" x14ac:dyDescent="0.35">
      <c r="A10" s="1" t="s">
        <v>8</v>
      </c>
      <c r="B10">
        <v>84084</v>
      </c>
      <c r="C10">
        <v>91936</v>
      </c>
      <c r="D10">
        <v>38999.999999999993</v>
      </c>
      <c r="E10">
        <v>67703.999999999985</v>
      </c>
      <c r="F10">
        <v>3806.3999999999996</v>
      </c>
      <c r="G10">
        <v>130988.27397304785</v>
      </c>
    </row>
    <row r="11" spans="1:7" x14ac:dyDescent="0.35">
      <c r="A11" s="1" t="s">
        <v>9</v>
      </c>
      <c r="B11">
        <v>98280</v>
      </c>
      <c r="C11">
        <v>59904</v>
      </c>
      <c r="D11">
        <v>28828.799999999999</v>
      </c>
      <c r="E11">
        <v>32240</v>
      </c>
      <c r="F11">
        <v>19032</v>
      </c>
      <c r="G11">
        <v>259017.00198400003</v>
      </c>
    </row>
    <row r="12" spans="1:7" x14ac:dyDescent="0.35">
      <c r="A12" s="1" t="s">
        <v>10</v>
      </c>
      <c r="B12">
        <v>111384</v>
      </c>
      <c r="C12">
        <v>58240</v>
      </c>
      <c r="D12">
        <v>31355.999999999996</v>
      </c>
      <c r="E12">
        <v>145080</v>
      </c>
      <c r="F12">
        <v>25376</v>
      </c>
      <c r="G12">
        <v>179617.25167908502</v>
      </c>
    </row>
    <row r="13" spans="1:7" x14ac:dyDescent="0.35">
      <c r="A13" s="1" t="s">
        <v>11</v>
      </c>
      <c r="B13">
        <v>336679.1999999999</v>
      </c>
      <c r="C13">
        <v>54912</v>
      </c>
      <c r="D13">
        <v>73216</v>
      </c>
      <c r="E13">
        <v>48360</v>
      </c>
      <c r="F13">
        <v>3172</v>
      </c>
      <c r="G13">
        <v>171780.27923503154</v>
      </c>
    </row>
    <row r="14" spans="1:7" x14ac:dyDescent="0.35">
      <c r="A14" s="1" t="s">
        <v>12</v>
      </c>
      <c r="B14">
        <v>256183.19999999992</v>
      </c>
      <c r="C14">
        <v>27456</v>
      </c>
      <c r="D14">
        <v>36971.999999999993</v>
      </c>
      <c r="E14">
        <v>9672</v>
      </c>
      <c r="F14">
        <v>22204</v>
      </c>
      <c r="G14">
        <v>322097.35649983236</v>
      </c>
    </row>
    <row r="15" spans="1:7" x14ac:dyDescent="0.35">
      <c r="A15" s="1" t="s">
        <v>13</v>
      </c>
      <c r="B15">
        <v>58968</v>
      </c>
      <c r="C15">
        <v>82472</v>
      </c>
      <c r="D15">
        <v>30419.999999999996</v>
      </c>
      <c r="E15">
        <v>19344</v>
      </c>
      <c r="F15">
        <v>17128.800000000003</v>
      </c>
      <c r="G15">
        <v>588048.52787200001</v>
      </c>
    </row>
    <row r="16" spans="1:7" x14ac:dyDescent="0.35">
      <c r="A16" s="1" t="s">
        <v>14</v>
      </c>
      <c r="B16">
        <v>444444</v>
      </c>
      <c r="C16">
        <v>128440</v>
      </c>
      <c r="D16">
        <v>86944</v>
      </c>
      <c r="E16">
        <v>9672</v>
      </c>
      <c r="F16">
        <v>12688</v>
      </c>
      <c r="G16">
        <v>291878.98771200003</v>
      </c>
    </row>
    <row r="17" spans="1:7" x14ac:dyDescent="0.35">
      <c r="A17" s="1" t="s">
        <v>15</v>
      </c>
      <c r="B17">
        <v>1292928</v>
      </c>
      <c r="C17">
        <v>77064</v>
      </c>
      <c r="D17">
        <v>37439.999999999993</v>
      </c>
      <c r="E17">
        <v>77376</v>
      </c>
      <c r="F17">
        <v>22204</v>
      </c>
      <c r="G17">
        <v>330371.51380815811</v>
      </c>
    </row>
    <row r="18" spans="1:7" x14ac:dyDescent="0.35">
      <c r="A18" s="1" t="s">
        <v>16</v>
      </c>
      <c r="B18">
        <v>333889.91999999998</v>
      </c>
      <c r="C18">
        <v>25792</v>
      </c>
      <c r="D18">
        <v>74131.199999999997</v>
      </c>
      <c r="E18">
        <v>112840</v>
      </c>
      <c r="F18">
        <v>6344</v>
      </c>
      <c r="G18">
        <v>437130.18709680357</v>
      </c>
    </row>
    <row r="19" spans="1:7" x14ac:dyDescent="0.35">
      <c r="A19" s="1" t="s">
        <v>17</v>
      </c>
      <c r="B19">
        <v>308599.19999999995</v>
      </c>
      <c r="C19">
        <v>44616</v>
      </c>
      <c r="D19">
        <v>96096</v>
      </c>
      <c r="E19">
        <v>19344</v>
      </c>
      <c r="F19">
        <v>19032</v>
      </c>
      <c r="G19">
        <v>753921.27336101106</v>
      </c>
    </row>
    <row r="20" spans="1:7" x14ac:dyDescent="0.35">
      <c r="A20" s="1" t="s">
        <v>18</v>
      </c>
      <c r="B20">
        <v>315900</v>
      </c>
      <c r="C20">
        <v>54080</v>
      </c>
      <c r="D20">
        <v>131560</v>
      </c>
      <c r="E20">
        <v>48360</v>
      </c>
      <c r="F20">
        <v>3172</v>
      </c>
      <c r="G20">
        <v>659221.58931199997</v>
      </c>
    </row>
    <row r="21" spans="1:7" x14ac:dyDescent="0.35">
      <c r="A21" s="1" t="s">
        <v>19</v>
      </c>
      <c r="B21">
        <v>55036.799999999996</v>
      </c>
      <c r="C21">
        <v>64896</v>
      </c>
      <c r="D21">
        <v>73320</v>
      </c>
      <c r="E21">
        <v>48360</v>
      </c>
      <c r="F21">
        <v>25376</v>
      </c>
      <c r="G21">
        <v>683953.59718399995</v>
      </c>
    </row>
    <row r="22" spans="1:7" x14ac:dyDescent="0.35">
      <c r="A22" s="1" t="s">
        <v>20</v>
      </c>
      <c r="B22">
        <v>39311.999999999993</v>
      </c>
      <c r="C22">
        <v>127088</v>
      </c>
      <c r="D22">
        <v>58344</v>
      </c>
      <c r="E22">
        <v>48360</v>
      </c>
      <c r="F22">
        <v>25376</v>
      </c>
      <c r="G22">
        <v>684040.66515200003</v>
      </c>
    </row>
    <row r="23" spans="1:7" x14ac:dyDescent="0.35">
      <c r="A23" s="1" t="s">
        <v>21</v>
      </c>
      <c r="B23">
        <v>209664</v>
      </c>
      <c r="C23">
        <v>61568</v>
      </c>
      <c r="D23">
        <v>79559.999999999985</v>
      </c>
      <c r="E23">
        <v>96720</v>
      </c>
      <c r="F23">
        <v>1903.1999999999998</v>
      </c>
      <c r="G23">
        <v>704021.99795200001</v>
      </c>
    </row>
    <row r="24" spans="1:7" x14ac:dyDescent="0.35">
      <c r="A24" s="1" t="s">
        <v>22</v>
      </c>
      <c r="B24">
        <v>163800</v>
      </c>
      <c r="C24">
        <v>37440</v>
      </c>
      <c r="D24">
        <v>42119.999999999993</v>
      </c>
      <c r="E24">
        <v>67703.999999999985</v>
      </c>
      <c r="F24">
        <v>5709.5999999999995</v>
      </c>
      <c r="G24">
        <v>715411.20607946836</v>
      </c>
    </row>
    <row r="25" spans="1:7" x14ac:dyDescent="0.35">
      <c r="A25" s="1" t="s">
        <v>23</v>
      </c>
      <c r="B25">
        <v>648648</v>
      </c>
      <c r="C25">
        <v>85176</v>
      </c>
      <c r="D25">
        <v>39124.800000000003</v>
      </c>
      <c r="E25">
        <v>80600</v>
      </c>
      <c r="F25">
        <v>7612.7999999999993</v>
      </c>
      <c r="G25">
        <v>403220.32450692303</v>
      </c>
    </row>
    <row r="26" spans="1:7" x14ac:dyDescent="0.35">
      <c r="A26" s="1" t="s">
        <v>24</v>
      </c>
      <c r="B26">
        <v>299520</v>
      </c>
      <c r="C26">
        <v>55432</v>
      </c>
      <c r="D26">
        <v>89232</v>
      </c>
      <c r="E26">
        <v>64480</v>
      </c>
      <c r="F26">
        <v>5709.5999999999995</v>
      </c>
      <c r="G26">
        <v>522264.89868800004</v>
      </c>
    </row>
    <row r="27" spans="1:7" x14ac:dyDescent="0.35">
      <c r="A27" s="1" t="s">
        <v>25</v>
      </c>
      <c r="B27">
        <v>151351.19999999998</v>
      </c>
      <c r="C27">
        <v>27456</v>
      </c>
      <c r="D27">
        <v>121264</v>
      </c>
      <c r="E27">
        <v>77376</v>
      </c>
      <c r="F27">
        <v>13322.399999999998</v>
      </c>
      <c r="G27">
        <v>668448.03251200006</v>
      </c>
    </row>
    <row r="28" spans="1:7" x14ac:dyDescent="0.35">
      <c r="A28" s="1" t="s">
        <v>26</v>
      </c>
      <c r="B28">
        <v>378705.6</v>
      </c>
      <c r="C28">
        <v>128440</v>
      </c>
      <c r="D28">
        <v>48734.399999999994</v>
      </c>
      <c r="E28">
        <v>38688</v>
      </c>
      <c r="F28">
        <v>22204</v>
      </c>
      <c r="G28">
        <v>550539.63736477378</v>
      </c>
    </row>
    <row r="29" spans="1:7" x14ac:dyDescent="0.35">
      <c r="A29" s="1" t="s">
        <v>27</v>
      </c>
      <c r="B29">
        <v>672235.2</v>
      </c>
      <c r="C29">
        <v>90584</v>
      </c>
      <c r="D29">
        <v>25739.999999999996</v>
      </c>
      <c r="E29">
        <v>19344</v>
      </c>
      <c r="F29">
        <v>13322.399999999998</v>
      </c>
      <c r="G29">
        <v>359220.36262928648</v>
      </c>
    </row>
    <row r="30" spans="1:7" x14ac:dyDescent="0.35">
      <c r="A30" s="1" t="s">
        <v>28</v>
      </c>
      <c r="B30">
        <v>206668.79999999996</v>
      </c>
      <c r="C30">
        <v>64896</v>
      </c>
      <c r="D30">
        <v>35099.999999999993</v>
      </c>
      <c r="E30">
        <v>16120</v>
      </c>
      <c r="F30">
        <v>3806.3999999999996</v>
      </c>
      <c r="G30">
        <v>545438.469056</v>
      </c>
    </row>
    <row r="31" spans="1:7" x14ac:dyDescent="0.35">
      <c r="A31" s="1" t="s">
        <v>29</v>
      </c>
      <c r="B31">
        <v>419328</v>
      </c>
      <c r="C31">
        <v>113568</v>
      </c>
      <c r="D31">
        <v>73444.799999999988</v>
      </c>
      <c r="E31">
        <v>96720</v>
      </c>
      <c r="F31">
        <v>19032</v>
      </c>
      <c r="G31">
        <v>623609.76905208069</v>
      </c>
    </row>
    <row r="32" spans="1:7" x14ac:dyDescent="0.35">
      <c r="A32" s="1" t="s">
        <v>30</v>
      </c>
      <c r="B32">
        <v>161740.79999999996</v>
      </c>
      <c r="C32">
        <v>124384</v>
      </c>
      <c r="D32">
        <v>37752</v>
      </c>
      <c r="E32">
        <v>38688</v>
      </c>
      <c r="F32">
        <v>6344</v>
      </c>
      <c r="G32">
        <v>706213.03084800008</v>
      </c>
    </row>
    <row r="33" spans="1:7" x14ac:dyDescent="0.35">
      <c r="A33" s="1" t="s">
        <v>31</v>
      </c>
      <c r="B33">
        <v>262080</v>
      </c>
      <c r="C33">
        <v>43264</v>
      </c>
      <c r="D33">
        <v>130416</v>
      </c>
      <c r="E33">
        <v>19344</v>
      </c>
      <c r="F33">
        <v>17128.800000000003</v>
      </c>
      <c r="G33">
        <v>575732.941888</v>
      </c>
    </row>
    <row r="34" spans="1:7" x14ac:dyDescent="0.35">
      <c r="A34" s="1" t="s">
        <v>32</v>
      </c>
      <c r="B34">
        <v>411060</v>
      </c>
      <c r="C34">
        <v>44928</v>
      </c>
      <c r="D34">
        <v>44459.999999999993</v>
      </c>
      <c r="E34">
        <v>145080</v>
      </c>
      <c r="F34">
        <v>12688</v>
      </c>
      <c r="G34">
        <v>232932.69961718412</v>
      </c>
    </row>
    <row r="35" spans="1:7" x14ac:dyDescent="0.35">
      <c r="A35" s="1" t="s">
        <v>33</v>
      </c>
      <c r="B35">
        <v>49140</v>
      </c>
      <c r="C35">
        <v>29120</v>
      </c>
      <c r="D35">
        <v>122408</v>
      </c>
      <c r="E35">
        <v>64480</v>
      </c>
      <c r="F35">
        <v>15860</v>
      </c>
      <c r="G35">
        <v>246610.19718399999</v>
      </c>
    </row>
    <row r="36" spans="1:7" x14ac:dyDescent="0.35">
      <c r="A36" s="1" t="s">
        <v>34</v>
      </c>
      <c r="B36">
        <v>1223040</v>
      </c>
      <c r="C36">
        <v>109512</v>
      </c>
      <c r="D36">
        <v>75504</v>
      </c>
      <c r="E36">
        <v>48360</v>
      </c>
      <c r="F36">
        <v>25376</v>
      </c>
      <c r="G36">
        <v>630159.78854400001</v>
      </c>
    </row>
    <row r="37" spans="1:7" x14ac:dyDescent="0.35">
      <c r="A37" s="1" t="s">
        <v>35</v>
      </c>
      <c r="B37">
        <v>373464</v>
      </c>
      <c r="C37">
        <v>59488</v>
      </c>
      <c r="D37">
        <v>33539.999999999993</v>
      </c>
      <c r="E37">
        <v>128960</v>
      </c>
      <c r="F37">
        <v>3172</v>
      </c>
      <c r="G37">
        <v>621570.23866941081</v>
      </c>
    </row>
    <row r="38" spans="1:7" x14ac:dyDescent="0.35">
      <c r="A38" s="1" t="s">
        <v>36</v>
      </c>
      <c r="B38">
        <v>699660</v>
      </c>
      <c r="C38">
        <v>28288</v>
      </c>
      <c r="D38">
        <v>65519.999999999985</v>
      </c>
      <c r="E38">
        <v>19344</v>
      </c>
      <c r="F38">
        <v>15860</v>
      </c>
      <c r="G38">
        <v>182759.27535570168</v>
      </c>
    </row>
    <row r="39" spans="1:7" x14ac:dyDescent="0.35">
      <c r="A39" s="1" t="s">
        <v>37</v>
      </c>
      <c r="B39">
        <v>140400</v>
      </c>
      <c r="C39">
        <v>125736</v>
      </c>
      <c r="D39">
        <v>44927.999999999985</v>
      </c>
      <c r="E39">
        <v>48360</v>
      </c>
      <c r="F39">
        <v>7612.7999999999993</v>
      </c>
      <c r="G39">
        <v>462164.28728488059</v>
      </c>
    </row>
    <row r="40" spans="1:7" x14ac:dyDescent="0.35">
      <c r="A40" s="1" t="s">
        <v>38</v>
      </c>
      <c r="B40">
        <v>91727.999999999985</v>
      </c>
      <c r="C40">
        <v>129792</v>
      </c>
      <c r="D40">
        <v>74131.199999999997</v>
      </c>
      <c r="E40">
        <v>60840</v>
      </c>
      <c r="F40">
        <v>19032</v>
      </c>
      <c r="G40">
        <v>305788.99346202833</v>
      </c>
    </row>
    <row r="41" spans="1:7" x14ac:dyDescent="0.35">
      <c r="A41" s="1" t="s">
        <v>39</v>
      </c>
      <c r="B41">
        <v>316680</v>
      </c>
      <c r="C41">
        <v>75712</v>
      </c>
      <c r="D41">
        <v>36379.199999999997</v>
      </c>
      <c r="E41">
        <v>64480</v>
      </c>
      <c r="F41">
        <v>15225.599999999999</v>
      </c>
      <c r="G41">
        <v>828793.6820452027</v>
      </c>
    </row>
    <row r="42" spans="1:7" x14ac:dyDescent="0.35">
      <c r="A42" s="1" t="s">
        <v>40</v>
      </c>
      <c r="B42">
        <v>245388</v>
      </c>
      <c r="C42">
        <v>59072</v>
      </c>
      <c r="D42">
        <v>53352</v>
      </c>
      <c r="E42">
        <v>58031.999999999993</v>
      </c>
      <c r="F42">
        <v>1903.1999999999998</v>
      </c>
      <c r="G42">
        <v>743611.06756863731</v>
      </c>
    </row>
    <row r="43" spans="1:7" x14ac:dyDescent="0.35">
      <c r="A43" s="1" t="s">
        <v>41</v>
      </c>
      <c r="B43">
        <v>108108</v>
      </c>
      <c r="C43">
        <v>128440</v>
      </c>
      <c r="D43">
        <v>59279.999999999993</v>
      </c>
      <c r="E43">
        <v>145080</v>
      </c>
      <c r="F43">
        <v>3172</v>
      </c>
      <c r="G43">
        <v>613810.34374399995</v>
      </c>
    </row>
    <row r="44" spans="1:7" x14ac:dyDescent="0.35">
      <c r="A44" s="1" t="s">
        <v>42</v>
      </c>
      <c r="B44">
        <v>772480.79999999993</v>
      </c>
      <c r="C44">
        <v>55432</v>
      </c>
      <c r="D44">
        <v>51479.999999999993</v>
      </c>
      <c r="E44">
        <v>96720</v>
      </c>
      <c r="F44">
        <v>11419.199999999999</v>
      </c>
      <c r="G44">
        <v>385728.97914914956</v>
      </c>
    </row>
    <row r="45" spans="1:7" x14ac:dyDescent="0.35">
      <c r="A45" s="1" t="s">
        <v>43</v>
      </c>
      <c r="B45">
        <v>424320</v>
      </c>
      <c r="C45">
        <v>39936</v>
      </c>
      <c r="D45">
        <v>70199.999999999985</v>
      </c>
      <c r="E45">
        <v>145080</v>
      </c>
      <c r="F45">
        <v>19032</v>
      </c>
      <c r="G45">
        <v>479472.1510851722</v>
      </c>
    </row>
    <row r="46" spans="1:7" x14ac:dyDescent="0.35">
      <c r="A46" s="1" t="s">
        <v>44</v>
      </c>
      <c r="B46">
        <v>409500</v>
      </c>
      <c r="C46">
        <v>62400</v>
      </c>
      <c r="D46">
        <v>52415.999999999985</v>
      </c>
      <c r="E46">
        <v>64480</v>
      </c>
      <c r="F46">
        <v>5709.5999999999995</v>
      </c>
      <c r="G46">
        <v>687742.98311791732</v>
      </c>
    </row>
    <row r="47" spans="1:7" x14ac:dyDescent="0.35">
      <c r="A47" s="1" t="s">
        <v>45</v>
      </c>
      <c r="B47">
        <v>174720</v>
      </c>
      <c r="C47">
        <v>74360</v>
      </c>
      <c r="D47">
        <v>47267.999999999985</v>
      </c>
      <c r="E47">
        <v>48360</v>
      </c>
      <c r="F47">
        <v>1903.1999999999998</v>
      </c>
      <c r="G47">
        <v>539356.648896</v>
      </c>
    </row>
    <row r="48" spans="1:7" x14ac:dyDescent="0.35">
      <c r="A48" s="1" t="s">
        <v>46</v>
      </c>
      <c r="B48">
        <v>617760</v>
      </c>
      <c r="C48">
        <v>64896</v>
      </c>
      <c r="D48">
        <v>46799.999999999993</v>
      </c>
      <c r="E48">
        <v>64480</v>
      </c>
      <c r="F48">
        <v>6344</v>
      </c>
      <c r="G48">
        <v>589920.0767739414</v>
      </c>
    </row>
    <row r="49" spans="1:7" x14ac:dyDescent="0.35">
      <c r="A49" s="1" t="s">
        <v>47</v>
      </c>
      <c r="B49">
        <v>443352</v>
      </c>
      <c r="C49">
        <v>81120</v>
      </c>
      <c r="D49">
        <v>84656</v>
      </c>
      <c r="E49">
        <v>48360</v>
      </c>
      <c r="F49">
        <v>7612.7999999999993</v>
      </c>
      <c r="G49">
        <v>947322.70630399999</v>
      </c>
    </row>
    <row r="50" spans="1:7" x14ac:dyDescent="0.35">
      <c r="A50" s="1" t="s">
        <v>48</v>
      </c>
      <c r="B50">
        <v>268894.08000000002</v>
      </c>
      <c r="C50">
        <v>76544</v>
      </c>
      <c r="D50">
        <v>60839.999999999993</v>
      </c>
      <c r="E50">
        <v>48360</v>
      </c>
      <c r="F50">
        <v>12688</v>
      </c>
      <c r="G50">
        <v>364851.8326798901</v>
      </c>
    </row>
    <row r="51" spans="1:7" x14ac:dyDescent="0.35">
      <c r="A51" s="1" t="s">
        <v>49</v>
      </c>
      <c r="B51">
        <v>160617.60000000001</v>
      </c>
      <c r="C51">
        <v>106808</v>
      </c>
      <c r="D51">
        <v>20591.999999999996</v>
      </c>
      <c r="E51">
        <v>29015.999999999996</v>
      </c>
      <c r="F51">
        <v>28548</v>
      </c>
      <c r="G51">
        <v>985214.3658240001</v>
      </c>
    </row>
    <row r="52" spans="1:7" x14ac:dyDescent="0.35">
      <c r="A52" s="1" t="s">
        <v>50</v>
      </c>
      <c r="B52">
        <v>758284.79999999993</v>
      </c>
      <c r="C52">
        <v>77064</v>
      </c>
      <c r="D52">
        <v>81119.999999999985</v>
      </c>
      <c r="E52">
        <v>58031.999999999993</v>
      </c>
      <c r="F52">
        <v>15225.599999999999</v>
      </c>
      <c r="G52">
        <v>865416.30156800011</v>
      </c>
    </row>
    <row r="53" spans="1:7" x14ac:dyDescent="0.35">
      <c r="A53" s="1" t="s">
        <v>51</v>
      </c>
      <c r="B53">
        <v>408844.80000000005</v>
      </c>
      <c r="C53">
        <v>117624</v>
      </c>
      <c r="D53">
        <v>21527.999999999996</v>
      </c>
      <c r="E53">
        <v>60840</v>
      </c>
      <c r="F53">
        <v>19032</v>
      </c>
      <c r="G53">
        <v>220281.61542399996</v>
      </c>
    </row>
    <row r="54" spans="1:7" x14ac:dyDescent="0.35">
      <c r="A54" s="1" t="s">
        <v>52</v>
      </c>
      <c r="B54">
        <v>114266.88</v>
      </c>
      <c r="C54">
        <v>83200</v>
      </c>
      <c r="D54">
        <v>63960</v>
      </c>
      <c r="E54">
        <v>67703.999999999985</v>
      </c>
      <c r="F54">
        <v>17128.800000000003</v>
      </c>
      <c r="G54">
        <v>374901.6571792076</v>
      </c>
    </row>
    <row r="55" spans="1:7" x14ac:dyDescent="0.35">
      <c r="A55" s="1" t="s">
        <v>53</v>
      </c>
      <c r="B55">
        <v>269100</v>
      </c>
      <c r="C55">
        <v>39936</v>
      </c>
      <c r="D55">
        <v>137280</v>
      </c>
      <c r="E55">
        <v>29015.999999999996</v>
      </c>
      <c r="F55">
        <v>6344</v>
      </c>
      <c r="G55">
        <v>385108.12371200003</v>
      </c>
    </row>
    <row r="56" spans="1:7" x14ac:dyDescent="0.35">
      <c r="A56" s="1" t="s">
        <v>54</v>
      </c>
      <c r="B56">
        <v>374400</v>
      </c>
      <c r="C56">
        <v>40560</v>
      </c>
      <c r="D56">
        <v>65519.999999999985</v>
      </c>
      <c r="E56">
        <v>48360</v>
      </c>
      <c r="F56">
        <v>28548</v>
      </c>
      <c r="G56">
        <v>327925.02496000001</v>
      </c>
    </row>
    <row r="57" spans="1:7" x14ac:dyDescent="0.35">
      <c r="A57" s="1" t="s">
        <v>55</v>
      </c>
      <c r="B57">
        <v>803712</v>
      </c>
      <c r="C57">
        <v>83200</v>
      </c>
      <c r="D57">
        <v>55598.400000000001</v>
      </c>
      <c r="E57">
        <v>58031.999999999993</v>
      </c>
      <c r="F57">
        <v>25376</v>
      </c>
      <c r="G57">
        <v>227760.79222566486</v>
      </c>
    </row>
    <row r="58" spans="1:7" x14ac:dyDescent="0.35">
      <c r="A58" s="1" t="s">
        <v>56</v>
      </c>
      <c r="B58">
        <v>39311.999999999993</v>
      </c>
      <c r="C58">
        <v>66560</v>
      </c>
      <c r="D58">
        <v>87359.999999999985</v>
      </c>
      <c r="E58">
        <v>16120</v>
      </c>
      <c r="F58">
        <v>9516</v>
      </c>
      <c r="G58">
        <v>935180.04486400005</v>
      </c>
    </row>
    <row r="59" spans="1:7" x14ac:dyDescent="0.35">
      <c r="A59" s="1" t="s">
        <v>57</v>
      </c>
      <c r="B59">
        <v>166608</v>
      </c>
      <c r="C59">
        <v>42432</v>
      </c>
      <c r="D59">
        <v>51480</v>
      </c>
      <c r="E59">
        <v>80600</v>
      </c>
      <c r="F59">
        <v>19032</v>
      </c>
      <c r="G59">
        <v>141654.38070460944</v>
      </c>
    </row>
    <row r="60" spans="1:7" x14ac:dyDescent="0.35">
      <c r="A60" s="1" t="s">
        <v>58</v>
      </c>
      <c r="B60">
        <v>391091.99999999994</v>
      </c>
      <c r="C60">
        <v>74360</v>
      </c>
      <c r="D60">
        <v>35099.999999999993</v>
      </c>
      <c r="E60">
        <v>58031.999999999993</v>
      </c>
      <c r="F60">
        <v>15225.599999999999</v>
      </c>
      <c r="G60">
        <v>321842.50425599999</v>
      </c>
    </row>
    <row r="61" spans="1:7" x14ac:dyDescent="0.35">
      <c r="A61" s="1" t="s">
        <v>59</v>
      </c>
      <c r="B61">
        <v>80196.479999999996</v>
      </c>
      <c r="C61">
        <v>24960</v>
      </c>
      <c r="D61">
        <v>22931.999999999996</v>
      </c>
      <c r="E61">
        <v>67703.999999999985</v>
      </c>
      <c r="F61">
        <v>5709.5999999999995</v>
      </c>
      <c r="G61">
        <v>812316.21767753526</v>
      </c>
    </row>
    <row r="62" spans="1:7" x14ac:dyDescent="0.35">
      <c r="A62" s="1" t="s">
        <v>60</v>
      </c>
      <c r="B62">
        <v>220147.19999999998</v>
      </c>
      <c r="C62">
        <v>81536</v>
      </c>
      <c r="D62">
        <v>67079.999999999985</v>
      </c>
      <c r="E62">
        <v>64480</v>
      </c>
      <c r="F62">
        <v>12688</v>
      </c>
      <c r="G62">
        <v>376980.04301645601</v>
      </c>
    </row>
    <row r="63" spans="1:7" x14ac:dyDescent="0.35">
      <c r="A63" s="1" t="s">
        <v>61</v>
      </c>
      <c r="B63">
        <v>146764.79999999999</v>
      </c>
      <c r="C63">
        <v>50752</v>
      </c>
      <c r="D63">
        <v>118976</v>
      </c>
      <c r="E63">
        <v>80600</v>
      </c>
      <c r="F63">
        <v>7612.7999999999993</v>
      </c>
      <c r="G63">
        <v>319059.26790400001</v>
      </c>
    </row>
    <row r="64" spans="1:7" x14ac:dyDescent="0.35">
      <c r="A64" s="1" t="s">
        <v>62</v>
      </c>
      <c r="B64">
        <v>406879.19999999995</v>
      </c>
      <c r="C64">
        <v>71552</v>
      </c>
      <c r="D64">
        <v>71760</v>
      </c>
      <c r="E64">
        <v>80600</v>
      </c>
      <c r="F64">
        <v>11419.199999999999</v>
      </c>
      <c r="G64">
        <v>860721.12921599997</v>
      </c>
    </row>
    <row r="65" spans="1:7" x14ac:dyDescent="0.35">
      <c r="A65" s="1" t="s">
        <v>63</v>
      </c>
      <c r="B65">
        <v>146764.79999999999</v>
      </c>
      <c r="C65">
        <v>40768</v>
      </c>
      <c r="D65">
        <v>35099.999999999993</v>
      </c>
      <c r="E65">
        <v>80600</v>
      </c>
      <c r="F65">
        <v>9516</v>
      </c>
      <c r="G65">
        <v>222311.45830399997</v>
      </c>
    </row>
    <row r="66" spans="1:7" x14ac:dyDescent="0.35">
      <c r="A66" s="1" t="s">
        <v>64</v>
      </c>
      <c r="B66">
        <v>336510.71999999997</v>
      </c>
      <c r="C66">
        <v>74048</v>
      </c>
      <c r="D66">
        <v>53352</v>
      </c>
      <c r="E66">
        <v>48360</v>
      </c>
      <c r="F66">
        <v>9516</v>
      </c>
      <c r="G66">
        <v>238962.46400000001</v>
      </c>
    </row>
    <row r="67" spans="1:7" x14ac:dyDescent="0.35">
      <c r="A67" s="1" t="s">
        <v>65</v>
      </c>
      <c r="B67">
        <v>206388</v>
      </c>
      <c r="C67">
        <v>54080</v>
      </c>
      <c r="D67">
        <v>82368</v>
      </c>
      <c r="E67">
        <v>16120</v>
      </c>
      <c r="F67">
        <v>25376</v>
      </c>
      <c r="G67">
        <v>960516.31852800003</v>
      </c>
    </row>
    <row r="68" spans="1:7" x14ac:dyDescent="0.35">
      <c r="A68" s="1" t="s">
        <v>66</v>
      </c>
      <c r="B68">
        <v>148075.20000000001</v>
      </c>
      <c r="C68">
        <v>67600</v>
      </c>
      <c r="D68">
        <v>56159.999999999993</v>
      </c>
      <c r="E68">
        <v>77376</v>
      </c>
      <c r="F68">
        <v>1903.1999999999998</v>
      </c>
      <c r="G68">
        <v>796574.3968000001</v>
      </c>
    </row>
    <row r="69" spans="1:7" x14ac:dyDescent="0.35">
      <c r="A69" s="1" t="s">
        <v>67</v>
      </c>
      <c r="B69">
        <v>62899.199999999997</v>
      </c>
      <c r="C69">
        <v>69056</v>
      </c>
      <c r="D69">
        <v>21995.999999999996</v>
      </c>
      <c r="E69">
        <v>58031.999999999993</v>
      </c>
      <c r="F69">
        <v>15225.599999999999</v>
      </c>
      <c r="G69">
        <v>484695.10585599998</v>
      </c>
    </row>
    <row r="70" spans="1:7" x14ac:dyDescent="0.35">
      <c r="A70" s="1" t="s">
        <v>68</v>
      </c>
      <c r="B70">
        <v>182520</v>
      </c>
      <c r="C70">
        <v>48256</v>
      </c>
      <c r="D70">
        <v>43055.999999999993</v>
      </c>
      <c r="E70">
        <v>29015.999999999996</v>
      </c>
      <c r="F70">
        <v>25376</v>
      </c>
      <c r="G70">
        <v>566396.62547499093</v>
      </c>
    </row>
    <row r="71" spans="1:7" x14ac:dyDescent="0.35">
      <c r="A71" s="1" t="s">
        <v>69</v>
      </c>
      <c r="B71">
        <v>549120</v>
      </c>
      <c r="C71">
        <v>114920</v>
      </c>
      <c r="D71">
        <v>76876.799999999988</v>
      </c>
      <c r="E71">
        <v>64480</v>
      </c>
      <c r="F71">
        <v>11419.199999999999</v>
      </c>
      <c r="G71">
        <v>929943.03833600006</v>
      </c>
    </row>
    <row r="72" spans="1:7" x14ac:dyDescent="0.35">
      <c r="A72" s="1" t="s">
        <v>70</v>
      </c>
      <c r="B72">
        <v>360360</v>
      </c>
      <c r="C72">
        <v>93288</v>
      </c>
      <c r="D72">
        <v>85800</v>
      </c>
      <c r="E72">
        <v>19344</v>
      </c>
      <c r="F72">
        <v>19032</v>
      </c>
      <c r="G72">
        <v>501465.39603644813</v>
      </c>
    </row>
    <row r="73" spans="1:7" x14ac:dyDescent="0.35">
      <c r="A73" s="1" t="s">
        <v>71</v>
      </c>
      <c r="B73">
        <v>728364</v>
      </c>
      <c r="C73">
        <v>68224</v>
      </c>
      <c r="D73">
        <v>34163.999999999993</v>
      </c>
      <c r="E73">
        <v>112840</v>
      </c>
      <c r="F73">
        <v>11419.199999999999</v>
      </c>
      <c r="G73">
        <v>403914.98577757581</v>
      </c>
    </row>
    <row r="74" spans="1:7" x14ac:dyDescent="0.35">
      <c r="A74" s="1" t="s">
        <v>72</v>
      </c>
      <c r="B74">
        <v>207480</v>
      </c>
      <c r="C74">
        <v>76544</v>
      </c>
      <c r="D74">
        <v>56159.999999999993</v>
      </c>
      <c r="E74">
        <v>9672</v>
      </c>
      <c r="F74">
        <v>15225.599999999999</v>
      </c>
      <c r="G74">
        <v>351050.40588800004</v>
      </c>
    </row>
    <row r="75" spans="1:7" x14ac:dyDescent="0.35">
      <c r="A75" s="1" t="s">
        <v>73</v>
      </c>
      <c r="B75">
        <v>580944</v>
      </c>
      <c r="C75">
        <v>55744</v>
      </c>
      <c r="D75">
        <v>63179.999999999985</v>
      </c>
      <c r="E75">
        <v>38688</v>
      </c>
      <c r="F75">
        <v>19032</v>
      </c>
      <c r="G75">
        <v>463263.25518442184</v>
      </c>
    </row>
    <row r="76" spans="1:7" x14ac:dyDescent="0.35">
      <c r="A76" s="1" t="s">
        <v>74</v>
      </c>
      <c r="B76">
        <v>363792</v>
      </c>
      <c r="C76">
        <v>45760</v>
      </c>
      <c r="D76">
        <v>54225.599999999999</v>
      </c>
      <c r="E76">
        <v>9672</v>
      </c>
      <c r="F76">
        <v>31720</v>
      </c>
      <c r="G76">
        <v>803169.70905599999</v>
      </c>
    </row>
    <row r="77" spans="1:7" x14ac:dyDescent="0.35">
      <c r="A77" s="1" t="s">
        <v>75</v>
      </c>
      <c r="B77">
        <v>529152</v>
      </c>
      <c r="C77">
        <v>64064</v>
      </c>
      <c r="D77">
        <v>46799.999999999993</v>
      </c>
      <c r="E77">
        <v>77376</v>
      </c>
      <c r="F77">
        <v>17128.800000000003</v>
      </c>
      <c r="G77">
        <v>93959.563570593018</v>
      </c>
    </row>
    <row r="78" spans="1:7" x14ac:dyDescent="0.35">
      <c r="A78" s="1" t="s">
        <v>76</v>
      </c>
      <c r="B78">
        <v>613267.19999999995</v>
      </c>
      <c r="C78">
        <v>34944</v>
      </c>
      <c r="D78">
        <v>110968</v>
      </c>
      <c r="E78">
        <v>38688</v>
      </c>
      <c r="F78">
        <v>1903.1999999999998</v>
      </c>
      <c r="G78">
        <v>158671.04380547823</v>
      </c>
    </row>
    <row r="79" spans="1:7" x14ac:dyDescent="0.35">
      <c r="A79" s="1" t="s">
        <v>77</v>
      </c>
      <c r="B79">
        <v>276276</v>
      </c>
      <c r="C79">
        <v>69056</v>
      </c>
      <c r="D79">
        <v>84239.999999999985</v>
      </c>
      <c r="E79">
        <v>64480</v>
      </c>
      <c r="F79">
        <v>25376</v>
      </c>
      <c r="G79">
        <v>446563.68723200005</v>
      </c>
    </row>
    <row r="80" spans="1:7" x14ac:dyDescent="0.35">
      <c r="A80" s="1" t="s">
        <v>78</v>
      </c>
      <c r="B80">
        <v>400982.4</v>
      </c>
      <c r="C80">
        <v>112216</v>
      </c>
      <c r="D80">
        <v>76876.799999999988</v>
      </c>
      <c r="E80">
        <v>32240</v>
      </c>
      <c r="F80">
        <v>12688</v>
      </c>
      <c r="G80">
        <v>983632.30534399999</v>
      </c>
    </row>
    <row r="81" spans="1:7" x14ac:dyDescent="0.35">
      <c r="A81" s="1" t="s">
        <v>79</v>
      </c>
      <c r="B81">
        <v>620568</v>
      </c>
      <c r="C81">
        <v>54912</v>
      </c>
      <c r="D81">
        <v>32291.999999999993</v>
      </c>
      <c r="E81">
        <v>87048</v>
      </c>
      <c r="F81">
        <v>17128.800000000003</v>
      </c>
      <c r="G81">
        <v>689430.72473599995</v>
      </c>
    </row>
    <row r="82" spans="1:7" x14ac:dyDescent="0.35">
      <c r="A82" s="1" t="s">
        <v>80</v>
      </c>
      <c r="B82">
        <v>117936</v>
      </c>
      <c r="C82">
        <v>105456</v>
      </c>
      <c r="D82">
        <v>70928</v>
      </c>
      <c r="E82">
        <v>16120</v>
      </c>
      <c r="F82">
        <v>5709.5999999999995</v>
      </c>
      <c r="G82">
        <v>676011.52736000007</v>
      </c>
    </row>
    <row r="83" spans="1:7" x14ac:dyDescent="0.35">
      <c r="A83" s="1" t="s">
        <v>81</v>
      </c>
      <c r="B83">
        <v>380952</v>
      </c>
      <c r="C83">
        <v>58240</v>
      </c>
      <c r="D83">
        <v>47361.599999999999</v>
      </c>
      <c r="E83">
        <v>9672</v>
      </c>
      <c r="F83">
        <v>13322.399999999998</v>
      </c>
      <c r="G83">
        <v>742822.07500800001</v>
      </c>
    </row>
    <row r="84" spans="1:7" x14ac:dyDescent="0.35">
      <c r="A84" s="1" t="s">
        <v>82</v>
      </c>
      <c r="B84">
        <v>198744</v>
      </c>
      <c r="C84">
        <v>112216</v>
      </c>
      <c r="D84">
        <v>71385.599999999991</v>
      </c>
      <c r="E84">
        <v>77376</v>
      </c>
      <c r="F84">
        <v>3172</v>
      </c>
      <c r="G84">
        <v>804957.26188800007</v>
      </c>
    </row>
    <row r="85" spans="1:7" x14ac:dyDescent="0.35">
      <c r="A85" s="1" t="s">
        <v>83</v>
      </c>
      <c r="B85">
        <v>55692</v>
      </c>
      <c r="C85">
        <v>43264</v>
      </c>
      <c r="D85">
        <v>63179.999999999985</v>
      </c>
      <c r="E85">
        <v>48360</v>
      </c>
      <c r="F85">
        <v>5709.5999999999995</v>
      </c>
      <c r="G85">
        <v>704794.06816000002</v>
      </c>
    </row>
    <row r="86" spans="1:7" x14ac:dyDescent="0.35">
      <c r="A86" s="1" t="s">
        <v>84</v>
      </c>
      <c r="B86">
        <v>222300</v>
      </c>
      <c r="C86">
        <v>39104</v>
      </c>
      <c r="D86">
        <v>72072</v>
      </c>
      <c r="E86">
        <v>77376</v>
      </c>
      <c r="F86">
        <v>28548</v>
      </c>
      <c r="G86">
        <v>306662.83315200004</v>
      </c>
    </row>
    <row r="87" spans="1:7" x14ac:dyDescent="0.35">
      <c r="A87" s="1" t="s">
        <v>85</v>
      </c>
      <c r="B87">
        <v>889200</v>
      </c>
      <c r="C87">
        <v>83200</v>
      </c>
      <c r="D87">
        <v>35567.999999999993</v>
      </c>
      <c r="E87">
        <v>48360</v>
      </c>
      <c r="F87">
        <v>9516</v>
      </c>
      <c r="G87">
        <v>454352.72064000007</v>
      </c>
    </row>
    <row r="88" spans="1:7" x14ac:dyDescent="0.35">
      <c r="A88" s="1" t="s">
        <v>86</v>
      </c>
      <c r="B88">
        <v>442260</v>
      </c>
      <c r="C88">
        <v>35776</v>
      </c>
      <c r="D88">
        <v>124696</v>
      </c>
      <c r="E88">
        <v>29015.999999999996</v>
      </c>
      <c r="F88">
        <v>9516</v>
      </c>
      <c r="G88">
        <v>239926.42118657127</v>
      </c>
    </row>
    <row r="89" spans="1:7" x14ac:dyDescent="0.35">
      <c r="A89" s="1" t="s">
        <v>87</v>
      </c>
      <c r="B89">
        <v>120163.67999999996</v>
      </c>
      <c r="C89">
        <v>49088</v>
      </c>
      <c r="D89">
        <v>63179.999999999985</v>
      </c>
      <c r="E89">
        <v>9672</v>
      </c>
      <c r="F89">
        <v>6344</v>
      </c>
      <c r="G89">
        <v>234661.77227851294</v>
      </c>
    </row>
    <row r="90" spans="1:7" x14ac:dyDescent="0.35">
      <c r="A90" s="1" t="s">
        <v>88</v>
      </c>
      <c r="B90">
        <v>415134.71999999997</v>
      </c>
      <c r="C90">
        <v>50024</v>
      </c>
      <c r="D90">
        <v>81224</v>
      </c>
      <c r="E90">
        <v>9672</v>
      </c>
      <c r="F90">
        <v>11419.199999999999</v>
      </c>
      <c r="G90">
        <v>322541.99537209969</v>
      </c>
    </row>
    <row r="91" spans="1:7" x14ac:dyDescent="0.35">
      <c r="A91" s="1" t="s">
        <v>89</v>
      </c>
      <c r="B91">
        <v>125580</v>
      </c>
      <c r="C91">
        <v>77064</v>
      </c>
      <c r="D91">
        <v>73320</v>
      </c>
      <c r="E91">
        <v>16120</v>
      </c>
      <c r="F91">
        <v>12688</v>
      </c>
      <c r="G91">
        <v>596559.64575999998</v>
      </c>
    </row>
    <row r="92" spans="1:7" x14ac:dyDescent="0.35">
      <c r="A92" s="1" t="s">
        <v>90</v>
      </c>
      <c r="B92">
        <v>479232</v>
      </c>
      <c r="C92">
        <v>24960</v>
      </c>
      <c r="D92">
        <v>80995.199999999997</v>
      </c>
      <c r="E92">
        <v>58031.999999999993</v>
      </c>
      <c r="F92">
        <v>3172</v>
      </c>
      <c r="G92">
        <v>527068.42240000004</v>
      </c>
    </row>
    <row r="93" spans="1:7" x14ac:dyDescent="0.35">
      <c r="A93" s="1" t="s">
        <v>91</v>
      </c>
      <c r="B93">
        <v>398099.52</v>
      </c>
      <c r="C93">
        <v>70720</v>
      </c>
      <c r="D93">
        <v>60632</v>
      </c>
      <c r="E93">
        <v>47320</v>
      </c>
      <c r="F93">
        <v>13322.399999999998</v>
      </c>
      <c r="G93">
        <v>255590.578048</v>
      </c>
    </row>
    <row r="94" spans="1:7" x14ac:dyDescent="0.35">
      <c r="A94" s="1" t="s">
        <v>92</v>
      </c>
      <c r="B94">
        <v>205920</v>
      </c>
      <c r="C94">
        <v>125736</v>
      </c>
      <c r="D94">
        <v>35692.799999999996</v>
      </c>
      <c r="E94">
        <v>48360</v>
      </c>
      <c r="F94">
        <v>6344</v>
      </c>
      <c r="G94">
        <v>463694.96263432235</v>
      </c>
    </row>
    <row r="95" spans="1:7" x14ac:dyDescent="0.35">
      <c r="A95" s="1" t="s">
        <v>93</v>
      </c>
      <c r="B95">
        <v>190007.99999999997</v>
      </c>
      <c r="C95">
        <v>62400</v>
      </c>
      <c r="D95">
        <v>38219.999999999993</v>
      </c>
      <c r="E95">
        <v>48360</v>
      </c>
      <c r="F95">
        <v>6344</v>
      </c>
      <c r="G95">
        <v>341253.75654264004</v>
      </c>
    </row>
    <row r="96" spans="1:7" x14ac:dyDescent="0.35">
      <c r="A96" s="1" t="s">
        <v>94</v>
      </c>
      <c r="B96">
        <v>436800</v>
      </c>
      <c r="C96">
        <v>44928</v>
      </c>
      <c r="D96">
        <v>49192</v>
      </c>
      <c r="E96">
        <v>16120</v>
      </c>
      <c r="F96">
        <v>15225.599999999999</v>
      </c>
      <c r="G96">
        <v>411464.23302400007</v>
      </c>
    </row>
    <row r="97" spans="1:7" x14ac:dyDescent="0.35">
      <c r="A97" s="1" t="s">
        <v>95</v>
      </c>
      <c r="B97">
        <v>194201.28</v>
      </c>
      <c r="C97">
        <v>48672</v>
      </c>
      <c r="D97">
        <v>47267.999999999985</v>
      </c>
      <c r="E97">
        <v>67703.999999999985</v>
      </c>
      <c r="F97">
        <v>12688</v>
      </c>
      <c r="G97">
        <v>208193.31436799999</v>
      </c>
    </row>
    <row r="98" spans="1:7" x14ac:dyDescent="0.35">
      <c r="A98" s="1" t="s">
        <v>96</v>
      </c>
      <c r="B98">
        <v>340704</v>
      </c>
      <c r="C98">
        <v>67392</v>
      </c>
      <c r="D98">
        <v>25271.999999999996</v>
      </c>
      <c r="E98">
        <v>96720</v>
      </c>
      <c r="F98">
        <v>9516</v>
      </c>
      <c r="G98">
        <v>545273.46764800011</v>
      </c>
    </row>
    <row r="99" spans="1:7" x14ac:dyDescent="0.35">
      <c r="A99" s="1" t="s">
        <v>97</v>
      </c>
      <c r="B99">
        <v>99372</v>
      </c>
      <c r="C99">
        <v>77376</v>
      </c>
      <c r="D99">
        <v>133848</v>
      </c>
      <c r="E99">
        <v>38688</v>
      </c>
      <c r="F99">
        <v>6344</v>
      </c>
      <c r="G99">
        <v>502654.9579708855</v>
      </c>
    </row>
    <row r="100" spans="1:7" x14ac:dyDescent="0.35">
      <c r="A100" s="1" t="s">
        <v>98</v>
      </c>
      <c r="B100">
        <v>251596.79999999999</v>
      </c>
      <c r="C100">
        <v>49088</v>
      </c>
      <c r="D100">
        <v>44459.999999999993</v>
      </c>
      <c r="E100">
        <v>9672</v>
      </c>
      <c r="F100">
        <v>19032</v>
      </c>
      <c r="G100">
        <v>449577.30937600008</v>
      </c>
    </row>
    <row r="101" spans="1:7" x14ac:dyDescent="0.35">
      <c r="A101" s="1" t="s">
        <v>99</v>
      </c>
      <c r="B101">
        <v>307756.79999999999</v>
      </c>
      <c r="C101">
        <v>41912</v>
      </c>
      <c r="D101">
        <v>61776</v>
      </c>
      <c r="E101">
        <v>87048</v>
      </c>
      <c r="F101">
        <v>13322.399999999998</v>
      </c>
      <c r="G101">
        <v>1035270.931968</v>
      </c>
    </row>
    <row r="102" spans="1:7" x14ac:dyDescent="0.35">
      <c r="A102" s="1" t="s">
        <v>100</v>
      </c>
      <c r="B102">
        <v>511056</v>
      </c>
      <c r="C102">
        <v>82368</v>
      </c>
      <c r="D102">
        <v>36660</v>
      </c>
      <c r="E102">
        <v>29015.999999999996</v>
      </c>
      <c r="F102">
        <v>28548</v>
      </c>
      <c r="G102">
        <v>201629.13184143239</v>
      </c>
    </row>
    <row r="103" spans="1:7" x14ac:dyDescent="0.35">
      <c r="A103" s="1" t="s">
        <v>101</v>
      </c>
      <c r="B103">
        <v>40435.200000000004</v>
      </c>
      <c r="C103">
        <v>106808</v>
      </c>
      <c r="D103">
        <v>30201.599999999999</v>
      </c>
      <c r="E103">
        <v>58031.999999999993</v>
      </c>
      <c r="F103">
        <v>3806.3999999999996</v>
      </c>
      <c r="G103">
        <v>276274.66471265152</v>
      </c>
    </row>
    <row r="104" spans="1:7" x14ac:dyDescent="0.35">
      <c r="A104" s="1" t="s">
        <v>102</v>
      </c>
      <c r="B104">
        <v>298584</v>
      </c>
      <c r="C104">
        <v>86528</v>
      </c>
      <c r="D104">
        <v>57657.599999999999</v>
      </c>
      <c r="E104">
        <v>38688</v>
      </c>
      <c r="F104">
        <v>7612.7999999999993</v>
      </c>
      <c r="G104">
        <v>533698.41075199994</v>
      </c>
    </row>
    <row r="105" spans="1:7" x14ac:dyDescent="0.35">
      <c r="A105" s="1" t="s">
        <v>103</v>
      </c>
      <c r="B105">
        <v>201801.59999999998</v>
      </c>
      <c r="C105">
        <v>69888</v>
      </c>
      <c r="D105">
        <v>85019.999999999985</v>
      </c>
      <c r="E105">
        <v>29015.999999999996</v>
      </c>
      <c r="F105">
        <v>11419.199999999999</v>
      </c>
      <c r="G105">
        <v>690190.16767999995</v>
      </c>
    </row>
    <row r="106" spans="1:7" x14ac:dyDescent="0.35">
      <c r="A106" s="1" t="s">
        <v>104</v>
      </c>
      <c r="B106">
        <v>720720</v>
      </c>
      <c r="C106">
        <v>71656</v>
      </c>
      <c r="D106">
        <v>31355.999999999996</v>
      </c>
      <c r="E106">
        <v>9672</v>
      </c>
      <c r="F106">
        <v>5709.5999999999995</v>
      </c>
      <c r="G106">
        <v>201002.63614600772</v>
      </c>
    </row>
    <row r="107" spans="1:7" x14ac:dyDescent="0.35">
      <c r="A107" s="1" t="s">
        <v>105</v>
      </c>
      <c r="B107">
        <v>168168</v>
      </c>
      <c r="C107">
        <v>48672</v>
      </c>
      <c r="D107">
        <v>54599.999999999993</v>
      </c>
      <c r="E107">
        <v>19344</v>
      </c>
      <c r="F107">
        <v>17128.800000000003</v>
      </c>
      <c r="G107">
        <v>177487.33596952498</v>
      </c>
    </row>
    <row r="108" spans="1:7" x14ac:dyDescent="0.35">
      <c r="A108" s="1" t="s">
        <v>106</v>
      </c>
      <c r="B108">
        <v>110728.8</v>
      </c>
      <c r="C108">
        <v>75712</v>
      </c>
      <c r="D108">
        <v>71760</v>
      </c>
      <c r="E108">
        <v>96720</v>
      </c>
      <c r="F108">
        <v>12688</v>
      </c>
      <c r="G108">
        <v>394667.44775477389</v>
      </c>
    </row>
    <row r="109" spans="1:7" x14ac:dyDescent="0.35">
      <c r="A109" s="1" t="s">
        <v>107</v>
      </c>
      <c r="B109">
        <v>152006.39999999999</v>
      </c>
      <c r="C109">
        <v>75712</v>
      </c>
      <c r="D109">
        <v>81119.999999999985</v>
      </c>
      <c r="E109">
        <v>29015.999999999996</v>
      </c>
      <c r="F109">
        <v>25376</v>
      </c>
      <c r="G109">
        <v>407474.6151185272</v>
      </c>
    </row>
    <row r="110" spans="1:7" x14ac:dyDescent="0.35">
      <c r="A110" s="1" t="s">
        <v>108</v>
      </c>
      <c r="B110">
        <v>245388</v>
      </c>
      <c r="C110">
        <v>37440</v>
      </c>
      <c r="D110">
        <v>28079.999999999996</v>
      </c>
      <c r="E110">
        <v>29015.999999999996</v>
      </c>
      <c r="F110">
        <v>13322.399999999998</v>
      </c>
      <c r="G110">
        <v>281572.72831999999</v>
      </c>
    </row>
    <row r="111" spans="1:7" x14ac:dyDescent="0.35">
      <c r="A111" s="1" t="s">
        <v>109</v>
      </c>
      <c r="B111">
        <v>285012</v>
      </c>
      <c r="C111">
        <v>64896</v>
      </c>
      <c r="D111">
        <v>133848</v>
      </c>
      <c r="E111">
        <v>32240</v>
      </c>
      <c r="F111">
        <v>7612.7999999999993</v>
      </c>
      <c r="G111">
        <v>250124.475328</v>
      </c>
    </row>
    <row r="112" spans="1:7" x14ac:dyDescent="0.35">
      <c r="A112" s="1" t="s">
        <v>110</v>
      </c>
      <c r="B112">
        <v>491400</v>
      </c>
      <c r="C112">
        <v>32448</v>
      </c>
      <c r="D112">
        <v>70012.799999999988</v>
      </c>
      <c r="E112">
        <v>96720</v>
      </c>
      <c r="F112">
        <v>28548</v>
      </c>
      <c r="G112">
        <v>526705.02892800001</v>
      </c>
    </row>
    <row r="113" spans="1:7" x14ac:dyDescent="0.35">
      <c r="A113" s="1" t="s">
        <v>111</v>
      </c>
      <c r="B113">
        <v>791700</v>
      </c>
      <c r="C113">
        <v>117624</v>
      </c>
      <c r="D113">
        <v>67496</v>
      </c>
      <c r="E113">
        <v>67703.999999999985</v>
      </c>
      <c r="F113">
        <v>3172</v>
      </c>
      <c r="G113">
        <v>844957.03968000005</v>
      </c>
    </row>
    <row r="114" spans="1:7" x14ac:dyDescent="0.35">
      <c r="A114" s="1" t="s">
        <v>112</v>
      </c>
      <c r="B114">
        <v>25272</v>
      </c>
      <c r="C114">
        <v>64896</v>
      </c>
      <c r="D114">
        <v>76648</v>
      </c>
      <c r="E114">
        <v>48360</v>
      </c>
      <c r="F114">
        <v>19032</v>
      </c>
      <c r="G114">
        <v>435241.61324242793</v>
      </c>
    </row>
    <row r="115" spans="1:7" x14ac:dyDescent="0.35">
      <c r="A115" s="1" t="s">
        <v>113</v>
      </c>
      <c r="B115">
        <v>136281.59999999998</v>
      </c>
      <c r="C115">
        <v>56784</v>
      </c>
      <c r="D115">
        <v>61619.999999999993</v>
      </c>
      <c r="E115">
        <v>80600</v>
      </c>
      <c r="F115">
        <v>6344</v>
      </c>
      <c r="G115">
        <v>714178.65958400001</v>
      </c>
    </row>
    <row r="116" spans="1:7" x14ac:dyDescent="0.35">
      <c r="A116" s="1" t="s">
        <v>114</v>
      </c>
      <c r="B116">
        <v>1150968</v>
      </c>
      <c r="C116">
        <v>63232</v>
      </c>
      <c r="D116">
        <v>75504</v>
      </c>
      <c r="E116">
        <v>48360</v>
      </c>
      <c r="F116">
        <v>1903.1999999999998</v>
      </c>
      <c r="G116">
        <v>223717.1268015817</v>
      </c>
    </row>
    <row r="117" spans="1:7" x14ac:dyDescent="0.35">
      <c r="A117" s="1" t="s">
        <v>115</v>
      </c>
      <c r="B117">
        <v>518700</v>
      </c>
      <c r="C117">
        <v>32448</v>
      </c>
      <c r="D117">
        <v>35880</v>
      </c>
      <c r="E117">
        <v>48360</v>
      </c>
      <c r="F117">
        <v>13322.399999999998</v>
      </c>
      <c r="G117">
        <v>294662.07846400002</v>
      </c>
    </row>
    <row r="118" spans="1:7" x14ac:dyDescent="0.35">
      <c r="A118" s="1" t="s">
        <v>116</v>
      </c>
      <c r="B118">
        <v>589680</v>
      </c>
      <c r="C118">
        <v>43264</v>
      </c>
      <c r="D118">
        <v>46904</v>
      </c>
      <c r="E118">
        <v>77376</v>
      </c>
      <c r="F118">
        <v>6344</v>
      </c>
      <c r="G118">
        <v>1021286.5544960002</v>
      </c>
    </row>
    <row r="119" spans="1:7" x14ac:dyDescent="0.35">
      <c r="A119" s="1" t="s">
        <v>117</v>
      </c>
      <c r="B119">
        <v>158371.20000000001</v>
      </c>
      <c r="C119">
        <v>52728</v>
      </c>
      <c r="D119">
        <v>112112</v>
      </c>
      <c r="E119">
        <v>47320</v>
      </c>
      <c r="F119">
        <v>11419.199999999999</v>
      </c>
      <c r="G119">
        <v>581755.51699199993</v>
      </c>
    </row>
    <row r="120" spans="1:7" x14ac:dyDescent="0.35">
      <c r="A120" s="1" t="s">
        <v>118</v>
      </c>
      <c r="B120">
        <v>631800</v>
      </c>
      <c r="C120">
        <v>129792</v>
      </c>
      <c r="D120">
        <v>97240</v>
      </c>
      <c r="E120">
        <v>96720</v>
      </c>
      <c r="F120">
        <v>11419.199999999999</v>
      </c>
      <c r="G120">
        <v>633059.44748800003</v>
      </c>
    </row>
    <row r="121" spans="1:7" x14ac:dyDescent="0.35">
      <c r="A121" s="1" t="s">
        <v>119</v>
      </c>
      <c r="B121">
        <v>252720</v>
      </c>
      <c r="C121">
        <v>83200</v>
      </c>
      <c r="D121">
        <v>54912</v>
      </c>
      <c r="E121">
        <v>80600</v>
      </c>
      <c r="F121">
        <v>28548</v>
      </c>
      <c r="G121">
        <v>121449.89175372387</v>
      </c>
    </row>
    <row r="122" spans="1:7" x14ac:dyDescent="0.35">
      <c r="A122" s="1" t="s">
        <v>120</v>
      </c>
      <c r="B122">
        <v>39312</v>
      </c>
      <c r="C122">
        <v>44928</v>
      </c>
      <c r="D122">
        <v>67267.199999999997</v>
      </c>
      <c r="E122">
        <v>58031.999999999993</v>
      </c>
      <c r="F122">
        <v>12688</v>
      </c>
      <c r="G122">
        <v>440948.63903999992</v>
      </c>
    </row>
    <row r="123" spans="1:7" x14ac:dyDescent="0.35">
      <c r="A123" s="1" t="s">
        <v>121</v>
      </c>
      <c r="B123">
        <v>77051.519999999975</v>
      </c>
      <c r="C123">
        <v>131144</v>
      </c>
      <c r="D123">
        <v>44616</v>
      </c>
      <c r="E123">
        <v>58031.999999999993</v>
      </c>
      <c r="F123">
        <v>11419.199999999999</v>
      </c>
      <c r="G123">
        <v>229475.93983634311</v>
      </c>
    </row>
    <row r="124" spans="1:7" x14ac:dyDescent="0.35">
      <c r="A124" s="1" t="s">
        <v>122</v>
      </c>
      <c r="B124">
        <v>102211.2</v>
      </c>
      <c r="C124">
        <v>44096</v>
      </c>
      <c r="D124">
        <v>71385.599999999991</v>
      </c>
      <c r="E124">
        <v>67703.999999999985</v>
      </c>
      <c r="F124">
        <v>28548</v>
      </c>
      <c r="G124">
        <v>485232.58118400001</v>
      </c>
    </row>
    <row r="125" spans="1:7" x14ac:dyDescent="0.35">
      <c r="A125" s="1" t="s">
        <v>123</v>
      </c>
      <c r="B125">
        <v>196560</v>
      </c>
      <c r="C125">
        <v>55744</v>
      </c>
      <c r="D125">
        <v>93808</v>
      </c>
      <c r="E125">
        <v>80600</v>
      </c>
      <c r="F125">
        <v>7612.7999999999993</v>
      </c>
      <c r="G125">
        <v>507103.86355200002</v>
      </c>
    </row>
    <row r="126" spans="1:7" x14ac:dyDescent="0.35">
      <c r="A126" s="1" t="s">
        <v>124</v>
      </c>
      <c r="B126">
        <v>917280</v>
      </c>
      <c r="C126">
        <v>49088</v>
      </c>
      <c r="D126">
        <v>28547.999999999993</v>
      </c>
      <c r="E126">
        <v>19344</v>
      </c>
      <c r="F126">
        <v>3172</v>
      </c>
      <c r="G126">
        <v>476818.2529817943</v>
      </c>
    </row>
    <row r="127" spans="1:7" x14ac:dyDescent="0.35">
      <c r="A127" s="1" t="s">
        <v>125</v>
      </c>
      <c r="B127">
        <v>275184</v>
      </c>
      <c r="C127">
        <v>67392</v>
      </c>
      <c r="D127">
        <v>31355.999999999996</v>
      </c>
      <c r="E127">
        <v>87048</v>
      </c>
      <c r="F127">
        <v>6344</v>
      </c>
      <c r="G127">
        <v>527439.89209600003</v>
      </c>
    </row>
    <row r="128" spans="1:7" x14ac:dyDescent="0.35">
      <c r="A128" s="1" t="s">
        <v>126</v>
      </c>
      <c r="B128">
        <v>816816</v>
      </c>
      <c r="C128">
        <v>25792</v>
      </c>
      <c r="D128">
        <v>23399.999999999996</v>
      </c>
      <c r="E128">
        <v>96720</v>
      </c>
      <c r="F128">
        <v>31720</v>
      </c>
      <c r="G128">
        <v>524544.08456945105</v>
      </c>
    </row>
    <row r="129" spans="1:7" x14ac:dyDescent="0.35">
      <c r="A129" s="1" t="s">
        <v>127</v>
      </c>
      <c r="B129">
        <v>216216</v>
      </c>
      <c r="C129">
        <v>106808</v>
      </c>
      <c r="D129">
        <v>31823.999999999993</v>
      </c>
      <c r="E129">
        <v>19344</v>
      </c>
      <c r="F129">
        <v>13322.399999999998</v>
      </c>
      <c r="G129">
        <v>181564.47181070631</v>
      </c>
    </row>
    <row r="130" spans="1:7" x14ac:dyDescent="0.35">
      <c r="A130" s="1" t="s">
        <v>128</v>
      </c>
      <c r="B130">
        <v>278023.2</v>
      </c>
      <c r="C130">
        <v>42432</v>
      </c>
      <c r="D130">
        <v>48048</v>
      </c>
      <c r="E130">
        <v>80600</v>
      </c>
      <c r="F130">
        <v>9516</v>
      </c>
      <c r="G130">
        <v>344329.7808785176</v>
      </c>
    </row>
    <row r="131" spans="1:7" x14ac:dyDescent="0.35">
      <c r="A131" s="1" t="s">
        <v>129</v>
      </c>
      <c r="B131">
        <v>158558.39999999999</v>
      </c>
      <c r="C131">
        <v>63544</v>
      </c>
      <c r="D131">
        <v>102960</v>
      </c>
      <c r="E131">
        <v>77376</v>
      </c>
      <c r="F131">
        <v>5709.5999999999995</v>
      </c>
      <c r="G131">
        <v>224249.46297070128</v>
      </c>
    </row>
    <row r="132" spans="1:7" x14ac:dyDescent="0.35">
      <c r="A132" s="1" t="s">
        <v>130</v>
      </c>
      <c r="B132">
        <v>169884</v>
      </c>
      <c r="C132">
        <v>81120</v>
      </c>
      <c r="D132">
        <v>84239.999999999985</v>
      </c>
      <c r="E132">
        <v>77376</v>
      </c>
      <c r="F132">
        <v>11419.199999999999</v>
      </c>
      <c r="G132">
        <v>772244.06604800012</v>
      </c>
    </row>
    <row r="133" spans="1:7" x14ac:dyDescent="0.35">
      <c r="A133" s="1" t="s">
        <v>131</v>
      </c>
      <c r="B133">
        <v>327880.80000000005</v>
      </c>
      <c r="C133">
        <v>56576</v>
      </c>
      <c r="D133">
        <v>29515.200000000001</v>
      </c>
      <c r="E133">
        <v>32240</v>
      </c>
      <c r="F133">
        <v>19032</v>
      </c>
      <c r="G133">
        <v>304717.91916799999</v>
      </c>
    </row>
    <row r="134" spans="1:7" x14ac:dyDescent="0.35">
      <c r="A134" s="1" t="s">
        <v>132</v>
      </c>
      <c r="B134">
        <v>22744.800000000003</v>
      </c>
      <c r="C134">
        <v>54080</v>
      </c>
      <c r="D134">
        <v>32947.199999999997</v>
      </c>
      <c r="E134">
        <v>64480</v>
      </c>
      <c r="F134">
        <v>9516</v>
      </c>
      <c r="G134">
        <v>210601.40108354535</v>
      </c>
    </row>
    <row r="135" spans="1:7" x14ac:dyDescent="0.35">
      <c r="A135" s="1" t="s">
        <v>133</v>
      </c>
      <c r="B135">
        <v>327600</v>
      </c>
      <c r="C135">
        <v>60736</v>
      </c>
      <c r="D135">
        <v>74879.999999999985</v>
      </c>
      <c r="E135">
        <v>96720</v>
      </c>
      <c r="F135">
        <v>6344</v>
      </c>
      <c r="G135">
        <v>728546.60153600015</v>
      </c>
    </row>
    <row r="136" spans="1:7" x14ac:dyDescent="0.35">
      <c r="A136" s="1" t="s">
        <v>134</v>
      </c>
      <c r="B136">
        <v>491400</v>
      </c>
      <c r="C136">
        <v>124384</v>
      </c>
      <c r="D136">
        <v>92039.999999999985</v>
      </c>
      <c r="E136">
        <v>29015.999999999996</v>
      </c>
      <c r="F136">
        <v>19032</v>
      </c>
      <c r="G136">
        <v>302668.97197725176</v>
      </c>
    </row>
    <row r="137" spans="1:7" x14ac:dyDescent="0.35">
      <c r="A137" s="1" t="s">
        <v>135</v>
      </c>
      <c r="B137">
        <v>333684</v>
      </c>
      <c r="C137">
        <v>66248</v>
      </c>
      <c r="D137">
        <v>51947.999999999985</v>
      </c>
      <c r="E137">
        <v>96720</v>
      </c>
      <c r="F137">
        <v>19032</v>
      </c>
      <c r="G137">
        <v>234902.36485147322</v>
      </c>
    </row>
    <row r="138" spans="1:7" x14ac:dyDescent="0.35">
      <c r="A138" s="1" t="s">
        <v>136</v>
      </c>
      <c r="B138">
        <v>311220</v>
      </c>
      <c r="C138">
        <v>90584</v>
      </c>
      <c r="D138">
        <v>89699.999999999985</v>
      </c>
      <c r="E138">
        <v>64480</v>
      </c>
      <c r="F138">
        <v>22204</v>
      </c>
      <c r="G138">
        <v>918215.69216000009</v>
      </c>
    </row>
    <row r="139" spans="1:7" x14ac:dyDescent="0.35">
      <c r="A139" s="1" t="s">
        <v>137</v>
      </c>
      <c r="B139">
        <v>288288</v>
      </c>
      <c r="C139">
        <v>81536</v>
      </c>
      <c r="D139">
        <v>46799.999999999993</v>
      </c>
      <c r="E139">
        <v>19344</v>
      </c>
      <c r="F139">
        <v>5709.5999999999995</v>
      </c>
      <c r="G139">
        <v>155072.83779075145</v>
      </c>
    </row>
    <row r="140" spans="1:7" x14ac:dyDescent="0.35">
      <c r="A140" s="1" t="s">
        <v>138</v>
      </c>
      <c r="B140">
        <v>525252</v>
      </c>
      <c r="C140">
        <v>132496</v>
      </c>
      <c r="D140">
        <v>58344</v>
      </c>
      <c r="E140">
        <v>32240</v>
      </c>
      <c r="F140">
        <v>25376</v>
      </c>
      <c r="G140">
        <v>741226.65593600017</v>
      </c>
    </row>
    <row r="141" spans="1:7" x14ac:dyDescent="0.35">
      <c r="A141" s="1" t="s">
        <v>139</v>
      </c>
      <c r="B141">
        <v>36691.199999999997</v>
      </c>
      <c r="C141">
        <v>28288</v>
      </c>
      <c r="D141">
        <v>50793.599999999999</v>
      </c>
      <c r="E141">
        <v>87048</v>
      </c>
      <c r="F141">
        <v>13322.399999999998</v>
      </c>
      <c r="G141">
        <v>899589.2963200002</v>
      </c>
    </row>
    <row r="142" spans="1:7" x14ac:dyDescent="0.35">
      <c r="A142" s="1" t="s">
        <v>140</v>
      </c>
      <c r="B142">
        <v>259459.20000000001</v>
      </c>
      <c r="C142">
        <v>64064</v>
      </c>
      <c r="D142">
        <v>45239.999999999993</v>
      </c>
      <c r="E142">
        <v>112840</v>
      </c>
      <c r="F142">
        <v>15860</v>
      </c>
      <c r="G142">
        <v>806831.06982400001</v>
      </c>
    </row>
    <row r="143" spans="1:7" x14ac:dyDescent="0.35">
      <c r="A143" s="1" t="s">
        <v>141</v>
      </c>
      <c r="B143">
        <v>377520</v>
      </c>
      <c r="C143">
        <v>63232</v>
      </c>
      <c r="D143">
        <v>107536</v>
      </c>
      <c r="E143">
        <v>19344</v>
      </c>
      <c r="F143">
        <v>11419.199999999999</v>
      </c>
      <c r="G143">
        <v>736184.37727806834</v>
      </c>
    </row>
    <row r="144" spans="1:7" x14ac:dyDescent="0.35">
      <c r="A144" s="1" t="s">
        <v>142</v>
      </c>
      <c r="B144">
        <v>260332.80000000002</v>
      </c>
      <c r="C144">
        <v>75712</v>
      </c>
      <c r="D144">
        <v>36379.199999999997</v>
      </c>
      <c r="E144">
        <v>96720</v>
      </c>
      <c r="F144">
        <v>5709.5999999999995</v>
      </c>
      <c r="G144">
        <v>249178.11450617912</v>
      </c>
    </row>
    <row r="145" spans="1:7" x14ac:dyDescent="0.35">
      <c r="A145" s="1" t="s">
        <v>143</v>
      </c>
      <c r="B145">
        <v>791700</v>
      </c>
      <c r="C145">
        <v>112216</v>
      </c>
      <c r="D145">
        <v>24335.999999999996</v>
      </c>
      <c r="E145">
        <v>48360</v>
      </c>
      <c r="F145">
        <v>9516</v>
      </c>
      <c r="G145">
        <v>471060.19680343941</v>
      </c>
    </row>
    <row r="146" spans="1:7" x14ac:dyDescent="0.35">
      <c r="A146" s="1" t="s">
        <v>144</v>
      </c>
      <c r="B146">
        <v>382200</v>
      </c>
      <c r="C146">
        <v>55432</v>
      </c>
      <c r="D146">
        <v>49139.999999999993</v>
      </c>
      <c r="E146">
        <v>9672</v>
      </c>
      <c r="F146">
        <v>31720</v>
      </c>
      <c r="G146">
        <v>235484.0687552155</v>
      </c>
    </row>
    <row r="147" spans="1:7" x14ac:dyDescent="0.35">
      <c r="A147" s="1" t="s">
        <v>145</v>
      </c>
      <c r="B147">
        <v>28079.999999999996</v>
      </c>
      <c r="C147">
        <v>117624</v>
      </c>
      <c r="D147">
        <v>63148.799999999996</v>
      </c>
      <c r="E147">
        <v>48360</v>
      </c>
      <c r="F147">
        <v>3806.3999999999996</v>
      </c>
      <c r="G147">
        <v>878215.27289599995</v>
      </c>
    </row>
    <row r="148" spans="1:7" x14ac:dyDescent="0.35">
      <c r="A148" s="1" t="s">
        <v>146</v>
      </c>
      <c r="B148">
        <v>120294.72</v>
      </c>
      <c r="C148">
        <v>60736</v>
      </c>
      <c r="D148">
        <v>48671.999999999993</v>
      </c>
      <c r="E148">
        <v>29015.999999999996</v>
      </c>
      <c r="F148">
        <v>28548</v>
      </c>
      <c r="G148">
        <v>559406.02348800004</v>
      </c>
    </row>
    <row r="149" spans="1:7" x14ac:dyDescent="0.35">
      <c r="A149" s="1" t="s">
        <v>147</v>
      </c>
      <c r="B149">
        <v>318988.79999999999</v>
      </c>
      <c r="C149">
        <v>37440</v>
      </c>
      <c r="D149">
        <v>19655.999999999996</v>
      </c>
      <c r="E149">
        <v>48360</v>
      </c>
      <c r="F149">
        <v>15860</v>
      </c>
      <c r="G149">
        <v>261064.62155065563</v>
      </c>
    </row>
    <row r="150" spans="1:7" x14ac:dyDescent="0.35">
      <c r="A150" s="1" t="s">
        <v>148</v>
      </c>
      <c r="B150">
        <v>519792</v>
      </c>
      <c r="C150">
        <v>100048</v>
      </c>
      <c r="D150">
        <v>55598.400000000001</v>
      </c>
      <c r="E150">
        <v>80600</v>
      </c>
      <c r="F150">
        <v>5709.5999999999995</v>
      </c>
      <c r="G150">
        <v>446782.677952</v>
      </c>
    </row>
    <row r="151" spans="1:7" x14ac:dyDescent="0.35">
      <c r="A151" s="1" t="s">
        <v>149</v>
      </c>
      <c r="B151">
        <v>176623.19999999998</v>
      </c>
      <c r="C151">
        <v>83824</v>
      </c>
      <c r="D151">
        <v>134992</v>
      </c>
      <c r="E151">
        <v>145080</v>
      </c>
      <c r="F151">
        <v>11419.199999999999</v>
      </c>
      <c r="G151">
        <v>605422.29618153442</v>
      </c>
    </row>
    <row r="152" spans="1:7" x14ac:dyDescent="0.35">
      <c r="A152" s="1" t="s">
        <v>150</v>
      </c>
      <c r="B152">
        <v>404164.8</v>
      </c>
      <c r="C152">
        <v>38272</v>
      </c>
      <c r="D152">
        <v>53819.999999999993</v>
      </c>
      <c r="E152">
        <v>87048</v>
      </c>
      <c r="F152">
        <v>15225.599999999999</v>
      </c>
      <c r="G152">
        <v>839915.10303999996</v>
      </c>
    </row>
    <row r="153" spans="1:7" x14ac:dyDescent="0.35">
      <c r="A153" s="1" t="s">
        <v>151</v>
      </c>
      <c r="B153">
        <v>149385.59999999998</v>
      </c>
      <c r="C153">
        <v>85176</v>
      </c>
      <c r="D153">
        <v>40247.999999999993</v>
      </c>
      <c r="E153">
        <v>77376</v>
      </c>
      <c r="F153">
        <v>5709.5999999999995</v>
      </c>
      <c r="G153">
        <v>511608.91974400001</v>
      </c>
    </row>
    <row r="154" spans="1:7" x14ac:dyDescent="0.35">
      <c r="A154" s="1" t="s">
        <v>152</v>
      </c>
      <c r="B154">
        <v>480480</v>
      </c>
      <c r="C154">
        <v>64896</v>
      </c>
      <c r="D154">
        <v>28079.999999999996</v>
      </c>
      <c r="E154">
        <v>58031.999999999993</v>
      </c>
      <c r="F154">
        <v>5709.5999999999995</v>
      </c>
      <c r="G154">
        <v>442355.14752</v>
      </c>
    </row>
    <row r="155" spans="1:7" x14ac:dyDescent="0.35">
      <c r="A155" s="1" t="s">
        <v>153</v>
      </c>
      <c r="B155">
        <v>687960</v>
      </c>
      <c r="C155">
        <v>95992</v>
      </c>
      <c r="D155">
        <v>56939.999999999993</v>
      </c>
      <c r="E155">
        <v>58031.999999999993</v>
      </c>
      <c r="F155">
        <v>1903.1999999999998</v>
      </c>
      <c r="G155">
        <v>499579.79801599996</v>
      </c>
    </row>
    <row r="156" spans="1:7" x14ac:dyDescent="0.35">
      <c r="A156" s="1" t="s">
        <v>154</v>
      </c>
      <c r="B156">
        <v>45489.600000000006</v>
      </c>
      <c r="C156">
        <v>62400</v>
      </c>
      <c r="D156">
        <v>61776</v>
      </c>
      <c r="E156">
        <v>96720</v>
      </c>
      <c r="F156">
        <v>11419.199999999999</v>
      </c>
      <c r="G156">
        <v>903914.71788799996</v>
      </c>
    </row>
    <row r="157" spans="1:7" x14ac:dyDescent="0.35">
      <c r="A157" s="1" t="s">
        <v>155</v>
      </c>
      <c r="B157">
        <v>351000</v>
      </c>
      <c r="C157">
        <v>104104</v>
      </c>
      <c r="D157">
        <v>32260.799999999999</v>
      </c>
      <c r="E157">
        <v>67703.999999999985</v>
      </c>
      <c r="F157">
        <v>12688</v>
      </c>
      <c r="G157">
        <v>274920.14298586134</v>
      </c>
    </row>
    <row r="158" spans="1:7" x14ac:dyDescent="0.35">
      <c r="A158" s="1" t="s">
        <v>156</v>
      </c>
      <c r="B158">
        <v>86486.399999999994</v>
      </c>
      <c r="C158">
        <v>77376</v>
      </c>
      <c r="D158">
        <v>94952</v>
      </c>
      <c r="E158">
        <v>38688</v>
      </c>
      <c r="F158">
        <v>19032</v>
      </c>
      <c r="G158">
        <v>368431.40757372207</v>
      </c>
    </row>
    <row r="159" spans="1:7" x14ac:dyDescent="0.35">
      <c r="A159" s="1" t="s">
        <v>157</v>
      </c>
      <c r="B159">
        <v>617760</v>
      </c>
      <c r="C159">
        <v>74048</v>
      </c>
      <c r="D159">
        <v>35099.999999999993</v>
      </c>
      <c r="E159">
        <v>80600</v>
      </c>
      <c r="F159">
        <v>1903.1999999999998</v>
      </c>
      <c r="G159">
        <v>166813.5643766521</v>
      </c>
    </row>
    <row r="160" spans="1:7" x14ac:dyDescent="0.35">
      <c r="A160" s="1" t="s">
        <v>158</v>
      </c>
      <c r="B160">
        <v>32291.999999999996</v>
      </c>
      <c r="C160">
        <v>54080</v>
      </c>
      <c r="D160">
        <v>80080</v>
      </c>
      <c r="E160">
        <v>48360</v>
      </c>
      <c r="F160">
        <v>25376</v>
      </c>
      <c r="G160">
        <v>288216.87675221567</v>
      </c>
    </row>
    <row r="161" spans="1:7" x14ac:dyDescent="0.35">
      <c r="A161" s="1" t="s">
        <v>159</v>
      </c>
      <c r="B161">
        <v>348566.39999999997</v>
      </c>
      <c r="C161">
        <v>71552</v>
      </c>
      <c r="D161">
        <v>41183.999999999993</v>
      </c>
      <c r="E161">
        <v>128960</v>
      </c>
      <c r="F161">
        <v>28548</v>
      </c>
      <c r="G161">
        <v>226515.59116093291</v>
      </c>
    </row>
    <row r="162" spans="1:7" x14ac:dyDescent="0.35">
      <c r="A162" s="1" t="s">
        <v>160</v>
      </c>
      <c r="B162">
        <v>374400</v>
      </c>
      <c r="C162">
        <v>64896</v>
      </c>
      <c r="D162">
        <v>67079.999999999985</v>
      </c>
      <c r="E162">
        <v>96720</v>
      </c>
      <c r="F162">
        <v>15860</v>
      </c>
      <c r="G162">
        <v>313978.16555880377</v>
      </c>
    </row>
    <row r="163" spans="1:7" x14ac:dyDescent="0.35">
      <c r="A163" s="1" t="s">
        <v>161</v>
      </c>
      <c r="B163">
        <v>193939.20000000001</v>
      </c>
      <c r="C163">
        <v>85176</v>
      </c>
      <c r="D163">
        <v>51947.999999999985</v>
      </c>
      <c r="E163">
        <v>48360</v>
      </c>
      <c r="F163">
        <v>3172</v>
      </c>
      <c r="G163">
        <v>463712.85875200003</v>
      </c>
    </row>
    <row r="164" spans="1:7" x14ac:dyDescent="0.35">
      <c r="A164" s="1" t="s">
        <v>162</v>
      </c>
      <c r="B164">
        <v>522849.6</v>
      </c>
      <c r="C164">
        <v>87880</v>
      </c>
      <c r="D164">
        <v>58344</v>
      </c>
      <c r="E164">
        <v>48360</v>
      </c>
      <c r="F164">
        <v>9516</v>
      </c>
      <c r="G164">
        <v>635008.68787200004</v>
      </c>
    </row>
    <row r="165" spans="1:7" x14ac:dyDescent="0.35">
      <c r="A165" s="1" t="s">
        <v>163</v>
      </c>
      <c r="B165">
        <v>1223040</v>
      </c>
      <c r="C165">
        <v>52416</v>
      </c>
      <c r="D165">
        <v>65208</v>
      </c>
      <c r="E165">
        <v>29015.999999999996</v>
      </c>
      <c r="F165">
        <v>28548</v>
      </c>
      <c r="G165">
        <v>218146.87731200003</v>
      </c>
    </row>
    <row r="166" spans="1:7" x14ac:dyDescent="0.35">
      <c r="A166" s="1" t="s">
        <v>164</v>
      </c>
      <c r="B166">
        <v>336960</v>
      </c>
      <c r="C166">
        <v>118976</v>
      </c>
      <c r="D166">
        <v>48734.399999999994</v>
      </c>
      <c r="E166">
        <v>29015.999999999996</v>
      </c>
      <c r="F166">
        <v>9516</v>
      </c>
      <c r="G166">
        <v>683887.25813969015</v>
      </c>
    </row>
    <row r="167" spans="1:7" x14ac:dyDescent="0.35">
      <c r="A167" s="1" t="s">
        <v>165</v>
      </c>
      <c r="B167">
        <v>139164.48000000001</v>
      </c>
      <c r="C167">
        <v>114920</v>
      </c>
      <c r="D167">
        <v>101816</v>
      </c>
      <c r="E167">
        <v>9672</v>
      </c>
      <c r="F167">
        <v>9516</v>
      </c>
      <c r="G167">
        <v>823527.60755199997</v>
      </c>
    </row>
    <row r="168" spans="1:7" x14ac:dyDescent="0.35">
      <c r="A168" s="1" t="s">
        <v>166</v>
      </c>
      <c r="B168">
        <v>266011.19999999995</v>
      </c>
      <c r="C168">
        <v>36608</v>
      </c>
      <c r="D168">
        <v>37439.999999999993</v>
      </c>
      <c r="E168">
        <v>77376</v>
      </c>
      <c r="F168">
        <v>1903.1999999999998</v>
      </c>
      <c r="G168">
        <v>856305.91155200009</v>
      </c>
    </row>
    <row r="169" spans="1:7" x14ac:dyDescent="0.35">
      <c r="A169" s="1" t="s">
        <v>167</v>
      </c>
      <c r="B169">
        <v>302515.20000000001</v>
      </c>
      <c r="C169">
        <v>29952</v>
      </c>
      <c r="D169">
        <v>55691.999999999993</v>
      </c>
      <c r="E169">
        <v>87048</v>
      </c>
      <c r="F169">
        <v>11419.199999999999</v>
      </c>
      <c r="G169">
        <v>528311.70246399997</v>
      </c>
    </row>
    <row r="170" spans="1:7" x14ac:dyDescent="0.35">
      <c r="A170" s="1" t="s">
        <v>168</v>
      </c>
      <c r="B170">
        <v>710892</v>
      </c>
      <c r="C170">
        <v>55744</v>
      </c>
      <c r="D170">
        <v>107536</v>
      </c>
      <c r="E170">
        <v>60840</v>
      </c>
      <c r="F170">
        <v>11419.199999999999</v>
      </c>
      <c r="G170">
        <v>559481.42289487878</v>
      </c>
    </row>
    <row r="171" spans="1:7" x14ac:dyDescent="0.35">
      <c r="A171" s="1" t="s">
        <v>169</v>
      </c>
      <c r="B171">
        <v>456768</v>
      </c>
      <c r="C171">
        <v>49088</v>
      </c>
      <c r="D171">
        <v>71385.599999999991</v>
      </c>
      <c r="E171">
        <v>47320</v>
      </c>
      <c r="F171">
        <v>12688</v>
      </c>
      <c r="G171">
        <v>360651.48914188409</v>
      </c>
    </row>
    <row r="172" spans="1:7" x14ac:dyDescent="0.35">
      <c r="A172" s="1" t="s">
        <v>170</v>
      </c>
      <c r="B172">
        <v>53820</v>
      </c>
      <c r="C172">
        <v>30784</v>
      </c>
      <c r="D172">
        <v>47267.999999999985</v>
      </c>
      <c r="E172">
        <v>9672</v>
      </c>
      <c r="F172">
        <v>22204</v>
      </c>
      <c r="G172">
        <v>387431.18240953691</v>
      </c>
    </row>
    <row r="173" spans="1:7" x14ac:dyDescent="0.35">
      <c r="A173" s="1" t="s">
        <v>171</v>
      </c>
      <c r="B173">
        <v>475675.2</v>
      </c>
      <c r="C173">
        <v>54912</v>
      </c>
      <c r="D173">
        <v>72540</v>
      </c>
      <c r="E173">
        <v>29015.999999999996</v>
      </c>
      <c r="F173">
        <v>3806.3999999999996</v>
      </c>
      <c r="G173">
        <v>724098.56896000006</v>
      </c>
    </row>
    <row r="174" spans="1:7" x14ac:dyDescent="0.35">
      <c r="A174" s="1" t="s">
        <v>172</v>
      </c>
      <c r="B174">
        <v>141916.31999999998</v>
      </c>
      <c r="C174">
        <v>43264</v>
      </c>
      <c r="D174">
        <v>54755.999999999985</v>
      </c>
      <c r="E174">
        <v>29015.999999999996</v>
      </c>
      <c r="F174">
        <v>3172</v>
      </c>
      <c r="G174">
        <v>425160.03046400001</v>
      </c>
    </row>
    <row r="175" spans="1:7" x14ac:dyDescent="0.35">
      <c r="A175" s="1" t="s">
        <v>173</v>
      </c>
      <c r="B175">
        <v>98280</v>
      </c>
      <c r="C175">
        <v>93288</v>
      </c>
      <c r="D175">
        <v>53819.999999999993</v>
      </c>
      <c r="E175">
        <v>145080</v>
      </c>
      <c r="F175">
        <v>3806.3999999999996</v>
      </c>
      <c r="G175">
        <v>539008.45225143107</v>
      </c>
    </row>
    <row r="176" spans="1:7" x14ac:dyDescent="0.35">
      <c r="A176" s="1" t="s">
        <v>174</v>
      </c>
      <c r="B176">
        <v>1441440</v>
      </c>
      <c r="C176">
        <v>54080</v>
      </c>
      <c r="D176">
        <v>38219.999999999993</v>
      </c>
      <c r="E176">
        <v>16120</v>
      </c>
      <c r="F176">
        <v>22204</v>
      </c>
      <c r="G176">
        <v>439035.59563867701</v>
      </c>
    </row>
    <row r="177" spans="1:7" x14ac:dyDescent="0.35">
      <c r="A177" s="1" t="s">
        <v>175</v>
      </c>
      <c r="B177">
        <v>982800</v>
      </c>
      <c r="C177">
        <v>48256</v>
      </c>
      <c r="D177">
        <v>88139.999999999985</v>
      </c>
      <c r="E177">
        <v>32240</v>
      </c>
      <c r="F177">
        <v>11419.199999999999</v>
      </c>
      <c r="G177">
        <v>325882.083703654</v>
      </c>
    </row>
    <row r="178" spans="1:7" x14ac:dyDescent="0.35">
      <c r="A178" s="1" t="s">
        <v>176</v>
      </c>
      <c r="B178">
        <v>147420</v>
      </c>
      <c r="C178">
        <v>60840</v>
      </c>
      <c r="D178">
        <v>83512</v>
      </c>
      <c r="E178">
        <v>38688</v>
      </c>
      <c r="F178">
        <v>9516</v>
      </c>
      <c r="G178">
        <v>214600.81681475841</v>
      </c>
    </row>
    <row r="179" spans="1:7" x14ac:dyDescent="0.35">
      <c r="A179" s="1" t="s">
        <v>177</v>
      </c>
      <c r="B179">
        <v>377395.19999999995</v>
      </c>
      <c r="C179">
        <v>81536</v>
      </c>
      <c r="D179">
        <v>48359.999999999993</v>
      </c>
      <c r="E179">
        <v>77376</v>
      </c>
      <c r="F179">
        <v>9516</v>
      </c>
      <c r="G179">
        <v>152666.42652696653</v>
      </c>
    </row>
    <row r="180" spans="1:7" x14ac:dyDescent="0.35">
      <c r="A180" s="1" t="s">
        <v>178</v>
      </c>
      <c r="B180">
        <v>117936</v>
      </c>
      <c r="C180">
        <v>113568</v>
      </c>
      <c r="D180">
        <v>80080</v>
      </c>
      <c r="E180">
        <v>87048</v>
      </c>
      <c r="F180">
        <v>31720</v>
      </c>
      <c r="G180">
        <v>435796.93640899856</v>
      </c>
    </row>
    <row r="181" spans="1:7" x14ac:dyDescent="0.35">
      <c r="A181" s="1" t="s">
        <v>179</v>
      </c>
      <c r="B181">
        <v>514800</v>
      </c>
      <c r="C181">
        <v>73216</v>
      </c>
      <c r="D181">
        <v>28142.399999999998</v>
      </c>
      <c r="E181">
        <v>48360</v>
      </c>
      <c r="F181">
        <v>1903.1999999999998</v>
      </c>
      <c r="G181">
        <v>319609.32004580379</v>
      </c>
    </row>
    <row r="182" spans="1:7" x14ac:dyDescent="0.35">
      <c r="A182" s="1" t="s">
        <v>180</v>
      </c>
      <c r="B182">
        <v>132600</v>
      </c>
      <c r="C182">
        <v>30784</v>
      </c>
      <c r="D182">
        <v>65894.399999999994</v>
      </c>
      <c r="E182">
        <v>19344</v>
      </c>
      <c r="F182">
        <v>25376</v>
      </c>
      <c r="G182">
        <v>616125.17083893716</v>
      </c>
    </row>
    <row r="183" spans="1:7" x14ac:dyDescent="0.35">
      <c r="A183" s="1" t="s">
        <v>181</v>
      </c>
      <c r="B183">
        <v>348191.99999999994</v>
      </c>
      <c r="C183">
        <v>116272</v>
      </c>
      <c r="D183">
        <v>69326.399999999994</v>
      </c>
      <c r="E183">
        <v>58031.999999999993</v>
      </c>
      <c r="F183">
        <v>3806.3999999999996</v>
      </c>
      <c r="G183">
        <v>556810.5628800001</v>
      </c>
    </row>
    <row r="184" spans="1:7" x14ac:dyDescent="0.35">
      <c r="A184" s="1" t="s">
        <v>182</v>
      </c>
      <c r="B184">
        <v>259459.20000000001</v>
      </c>
      <c r="C184">
        <v>24960</v>
      </c>
      <c r="D184">
        <v>47735.999999999993</v>
      </c>
      <c r="E184">
        <v>19344</v>
      </c>
      <c r="F184">
        <v>25376</v>
      </c>
      <c r="G184">
        <v>474135.66736621183</v>
      </c>
    </row>
    <row r="185" spans="1:7" x14ac:dyDescent="0.35">
      <c r="A185" s="1" t="s">
        <v>183</v>
      </c>
      <c r="B185">
        <v>733824</v>
      </c>
      <c r="C185">
        <v>116272</v>
      </c>
      <c r="D185">
        <v>59030.400000000001</v>
      </c>
      <c r="E185">
        <v>64480</v>
      </c>
      <c r="F185">
        <v>17128.800000000003</v>
      </c>
      <c r="G185">
        <v>543855.10815999995</v>
      </c>
    </row>
    <row r="186" spans="1:7" x14ac:dyDescent="0.35">
      <c r="A186" s="1" t="s">
        <v>184</v>
      </c>
      <c r="B186">
        <v>180180</v>
      </c>
      <c r="C186">
        <v>83824</v>
      </c>
      <c r="D186">
        <v>98384</v>
      </c>
      <c r="E186">
        <v>58031.999999999993</v>
      </c>
      <c r="F186">
        <v>9516</v>
      </c>
      <c r="G186">
        <v>667997.02860800014</v>
      </c>
    </row>
    <row r="187" spans="1:7" x14ac:dyDescent="0.35">
      <c r="A187" s="1" t="s">
        <v>185</v>
      </c>
      <c r="B187">
        <v>132600</v>
      </c>
      <c r="C187">
        <v>108160</v>
      </c>
      <c r="D187">
        <v>53768</v>
      </c>
      <c r="E187">
        <v>87048</v>
      </c>
      <c r="F187">
        <v>15225.599999999999</v>
      </c>
      <c r="G187">
        <v>326193.69369599997</v>
      </c>
    </row>
    <row r="188" spans="1:7" x14ac:dyDescent="0.35">
      <c r="A188" s="1" t="s">
        <v>186</v>
      </c>
      <c r="B188">
        <v>205470.71999999997</v>
      </c>
      <c r="C188">
        <v>63232</v>
      </c>
      <c r="D188">
        <v>35567.999999999993</v>
      </c>
      <c r="E188">
        <v>48360</v>
      </c>
      <c r="F188">
        <v>13322.399999999998</v>
      </c>
      <c r="G188">
        <v>265568.46088657225</v>
      </c>
    </row>
    <row r="189" spans="1:7" x14ac:dyDescent="0.35">
      <c r="A189" s="1" t="s">
        <v>187</v>
      </c>
      <c r="B189">
        <v>238492.79999999996</v>
      </c>
      <c r="C189">
        <v>83200</v>
      </c>
      <c r="D189">
        <v>24803.999999999993</v>
      </c>
      <c r="E189">
        <v>58031.999999999993</v>
      </c>
      <c r="F189">
        <v>3806.3999999999996</v>
      </c>
      <c r="G189">
        <v>236369.44207393797</v>
      </c>
    </row>
    <row r="190" spans="1:7" x14ac:dyDescent="0.35">
      <c r="A190" s="1" t="s">
        <v>188</v>
      </c>
      <c r="B190">
        <v>93256.8</v>
      </c>
      <c r="C190">
        <v>123032</v>
      </c>
      <c r="D190">
        <v>71760</v>
      </c>
      <c r="E190">
        <v>87048</v>
      </c>
      <c r="F190">
        <v>19032</v>
      </c>
      <c r="G190">
        <v>131308.90143147795</v>
      </c>
    </row>
    <row r="191" spans="1:7" x14ac:dyDescent="0.35">
      <c r="A191" s="1" t="s">
        <v>189</v>
      </c>
      <c r="B191">
        <v>324604.79999999993</v>
      </c>
      <c r="C191">
        <v>82472</v>
      </c>
      <c r="D191">
        <v>68640</v>
      </c>
      <c r="E191">
        <v>32240</v>
      </c>
      <c r="F191">
        <v>9516</v>
      </c>
      <c r="G191">
        <v>201095.89485036064</v>
      </c>
    </row>
    <row r="192" spans="1:7" x14ac:dyDescent="0.35">
      <c r="A192" s="1" t="s">
        <v>190</v>
      </c>
      <c r="B192">
        <v>340704</v>
      </c>
      <c r="C192">
        <v>27456</v>
      </c>
      <c r="D192">
        <v>44927.999999999985</v>
      </c>
      <c r="E192">
        <v>67703.999999999985</v>
      </c>
      <c r="F192">
        <v>28548</v>
      </c>
      <c r="G192">
        <v>703667.51686400012</v>
      </c>
    </row>
    <row r="193" spans="1:7" x14ac:dyDescent="0.35">
      <c r="A193" s="1" t="s">
        <v>191</v>
      </c>
      <c r="B193">
        <v>155675.52000000002</v>
      </c>
      <c r="C193">
        <v>76544</v>
      </c>
      <c r="D193">
        <v>42119.999999999993</v>
      </c>
      <c r="E193">
        <v>16120</v>
      </c>
      <c r="F193">
        <v>15225.599999999999</v>
      </c>
      <c r="G193">
        <v>173424.93048621021</v>
      </c>
    </row>
    <row r="194" spans="1:7" x14ac:dyDescent="0.35">
      <c r="A194" s="1" t="s">
        <v>192</v>
      </c>
      <c r="B194">
        <v>723840</v>
      </c>
      <c r="C194">
        <v>127088</v>
      </c>
      <c r="D194">
        <v>44616</v>
      </c>
      <c r="E194">
        <v>60840</v>
      </c>
      <c r="F194">
        <v>6344</v>
      </c>
      <c r="G194">
        <v>500479.42303613585</v>
      </c>
    </row>
    <row r="195" spans="1:7" x14ac:dyDescent="0.35">
      <c r="A195" s="1" t="s">
        <v>193</v>
      </c>
      <c r="B195">
        <v>91260</v>
      </c>
      <c r="C195">
        <v>133848</v>
      </c>
      <c r="D195">
        <v>92819.999999999985</v>
      </c>
      <c r="E195">
        <v>19344</v>
      </c>
      <c r="F195">
        <v>22204</v>
      </c>
      <c r="G195">
        <v>689176.57618176437</v>
      </c>
    </row>
    <row r="196" spans="1:7" x14ac:dyDescent="0.35">
      <c r="A196" s="1" t="s">
        <v>194</v>
      </c>
      <c r="B196">
        <v>343586.87999999995</v>
      </c>
      <c r="C196">
        <v>81536</v>
      </c>
      <c r="D196">
        <v>77563.199999999997</v>
      </c>
      <c r="E196">
        <v>19344</v>
      </c>
      <c r="F196">
        <v>3172</v>
      </c>
      <c r="G196">
        <v>393096.71755349071</v>
      </c>
    </row>
    <row r="197" spans="1:7" x14ac:dyDescent="0.35">
      <c r="A197" s="1" t="s">
        <v>195</v>
      </c>
      <c r="B197">
        <v>1153152</v>
      </c>
      <c r="C197">
        <v>81120</v>
      </c>
      <c r="D197">
        <v>19187.999999999996</v>
      </c>
      <c r="E197">
        <v>67703.999999999985</v>
      </c>
      <c r="F197">
        <v>3806.3999999999996</v>
      </c>
      <c r="G197">
        <v>139756.70235434338</v>
      </c>
    </row>
    <row r="198" spans="1:7" x14ac:dyDescent="0.35">
      <c r="A198" s="1" t="s">
        <v>196</v>
      </c>
      <c r="B198">
        <v>56159.999999999993</v>
      </c>
      <c r="C198">
        <v>43264</v>
      </c>
      <c r="D198">
        <v>50336</v>
      </c>
      <c r="E198">
        <v>48360</v>
      </c>
      <c r="F198">
        <v>22204</v>
      </c>
      <c r="G198">
        <v>327101.3675973881</v>
      </c>
    </row>
    <row r="199" spans="1:7" x14ac:dyDescent="0.35">
      <c r="A199" s="1" t="s">
        <v>197</v>
      </c>
      <c r="B199">
        <v>68640</v>
      </c>
      <c r="C199">
        <v>86528</v>
      </c>
      <c r="D199">
        <v>114400</v>
      </c>
      <c r="E199">
        <v>87048</v>
      </c>
      <c r="F199">
        <v>17128.800000000003</v>
      </c>
      <c r="G199">
        <v>425061.86092407256</v>
      </c>
    </row>
    <row r="200" spans="1:7" x14ac:dyDescent="0.35">
      <c r="A200" s="1" t="s">
        <v>198</v>
      </c>
      <c r="B200">
        <v>66643.199999999997</v>
      </c>
      <c r="C200">
        <v>67392</v>
      </c>
      <c r="D200">
        <v>52415.999999999985</v>
      </c>
      <c r="E200">
        <v>128960</v>
      </c>
      <c r="F200">
        <v>25376</v>
      </c>
      <c r="G200">
        <v>702314.5361957103</v>
      </c>
    </row>
    <row r="201" spans="1:7" x14ac:dyDescent="0.35">
      <c r="A201" s="1" t="s">
        <v>199</v>
      </c>
      <c r="B201">
        <v>47174.399999999994</v>
      </c>
      <c r="C201">
        <v>43264</v>
      </c>
      <c r="D201">
        <v>54225.599999999999</v>
      </c>
      <c r="E201">
        <v>64480</v>
      </c>
      <c r="F201">
        <v>1903.1999999999998</v>
      </c>
      <c r="G201">
        <v>481364.40686498565</v>
      </c>
    </row>
    <row r="202" spans="1:7" x14ac:dyDescent="0.35">
      <c r="A202" s="1" t="s">
        <v>200</v>
      </c>
      <c r="B202">
        <v>19656</v>
      </c>
      <c r="C202">
        <v>69056</v>
      </c>
      <c r="D202">
        <v>59030.400000000001</v>
      </c>
      <c r="E202">
        <v>64480</v>
      </c>
      <c r="F202">
        <v>28548</v>
      </c>
      <c r="G202">
        <v>237393.67094640504</v>
      </c>
    </row>
    <row r="203" spans="1:7" x14ac:dyDescent="0.35">
      <c r="A203" s="1" t="s">
        <v>201</v>
      </c>
      <c r="B203">
        <v>117000</v>
      </c>
      <c r="C203">
        <v>52728</v>
      </c>
      <c r="D203">
        <v>29015.999999999996</v>
      </c>
      <c r="E203">
        <v>96720</v>
      </c>
      <c r="F203">
        <v>12688</v>
      </c>
      <c r="G203">
        <v>658315.12722692499</v>
      </c>
    </row>
    <row r="204" spans="1:7" x14ac:dyDescent="0.35">
      <c r="A204" s="1" t="s">
        <v>202</v>
      </c>
      <c r="B204">
        <v>66300</v>
      </c>
      <c r="C204">
        <v>98696</v>
      </c>
      <c r="D204">
        <v>40497.599999999999</v>
      </c>
      <c r="E204">
        <v>9672</v>
      </c>
      <c r="F204">
        <v>13322.399999999998</v>
      </c>
      <c r="G204">
        <v>494469.75302400003</v>
      </c>
    </row>
    <row r="205" spans="1:7" x14ac:dyDescent="0.35">
      <c r="A205" s="1" t="s">
        <v>203</v>
      </c>
      <c r="B205">
        <v>556920</v>
      </c>
      <c r="C205">
        <v>54080</v>
      </c>
      <c r="D205">
        <v>68640</v>
      </c>
      <c r="E205">
        <v>54080</v>
      </c>
      <c r="F205">
        <v>7612.7999999999993</v>
      </c>
      <c r="G205">
        <v>351314.13679189165</v>
      </c>
    </row>
    <row r="206" spans="1:7" x14ac:dyDescent="0.35">
      <c r="A206" s="1" t="s">
        <v>204</v>
      </c>
      <c r="B206">
        <v>152755.19999999998</v>
      </c>
      <c r="C206">
        <v>45760</v>
      </c>
      <c r="D206">
        <v>23867.999999999996</v>
      </c>
      <c r="E206">
        <v>16120</v>
      </c>
      <c r="F206">
        <v>19032</v>
      </c>
      <c r="G206">
        <v>419705.70491005521</v>
      </c>
    </row>
    <row r="207" spans="1:7" x14ac:dyDescent="0.35">
      <c r="A207" s="1" t="s">
        <v>205</v>
      </c>
      <c r="B207">
        <v>846300</v>
      </c>
      <c r="C207">
        <v>83200</v>
      </c>
      <c r="D207">
        <v>36660</v>
      </c>
      <c r="E207">
        <v>19344</v>
      </c>
      <c r="F207">
        <v>25376</v>
      </c>
      <c r="G207">
        <v>590709.48435200006</v>
      </c>
    </row>
    <row r="208" spans="1:7" x14ac:dyDescent="0.35">
      <c r="A208" s="1" t="s">
        <v>206</v>
      </c>
      <c r="B208">
        <v>108501.11999999998</v>
      </c>
      <c r="C208">
        <v>70720</v>
      </c>
      <c r="D208">
        <v>61776</v>
      </c>
      <c r="E208">
        <v>87048</v>
      </c>
      <c r="F208">
        <v>28548</v>
      </c>
      <c r="G208">
        <v>291139.38519914809</v>
      </c>
    </row>
    <row r="209" spans="1:7" x14ac:dyDescent="0.35">
      <c r="A209" s="1" t="s">
        <v>207</v>
      </c>
      <c r="B209">
        <v>407160</v>
      </c>
      <c r="C209">
        <v>45760</v>
      </c>
      <c r="D209">
        <v>43243.199999999997</v>
      </c>
      <c r="E209">
        <v>38688</v>
      </c>
      <c r="F209">
        <v>31720</v>
      </c>
      <c r="G209">
        <v>467709.31667199999</v>
      </c>
    </row>
    <row r="210" spans="1:7" x14ac:dyDescent="0.35">
      <c r="A210" s="1" t="s">
        <v>208</v>
      </c>
      <c r="B210">
        <v>182988</v>
      </c>
      <c r="C210">
        <v>34112</v>
      </c>
      <c r="D210">
        <v>97240</v>
      </c>
      <c r="E210">
        <v>58031.999999999993</v>
      </c>
      <c r="F210">
        <v>11419.199999999999</v>
      </c>
      <c r="G210">
        <v>852917.58656000008</v>
      </c>
    </row>
    <row r="211" spans="1:7" x14ac:dyDescent="0.35">
      <c r="A211" s="1" t="s">
        <v>209</v>
      </c>
      <c r="B211">
        <v>26956.799999999996</v>
      </c>
      <c r="C211">
        <v>52416</v>
      </c>
      <c r="D211">
        <v>37907.999999999993</v>
      </c>
      <c r="E211">
        <v>19344</v>
      </c>
      <c r="F211">
        <v>13322.399999999998</v>
      </c>
      <c r="G211">
        <v>143303.31801116263</v>
      </c>
    </row>
    <row r="212" spans="1:7" x14ac:dyDescent="0.35">
      <c r="A212" s="1" t="s">
        <v>210</v>
      </c>
      <c r="B212">
        <v>572644.79999999993</v>
      </c>
      <c r="C212">
        <v>34112</v>
      </c>
      <c r="D212">
        <v>43991.999999999993</v>
      </c>
      <c r="E212">
        <v>80600</v>
      </c>
      <c r="F212">
        <v>11419.199999999999</v>
      </c>
      <c r="G212">
        <v>245884.84334392226</v>
      </c>
    </row>
    <row r="213" spans="1:7" x14ac:dyDescent="0.35">
      <c r="A213" s="1" t="s">
        <v>211</v>
      </c>
      <c r="B213">
        <v>526500</v>
      </c>
      <c r="C213">
        <v>68224</v>
      </c>
      <c r="D213">
        <v>99528</v>
      </c>
      <c r="E213">
        <v>145080</v>
      </c>
      <c r="F213">
        <v>28548</v>
      </c>
      <c r="G213">
        <v>148218.05003360423</v>
      </c>
    </row>
    <row r="214" spans="1:7" x14ac:dyDescent="0.35">
      <c r="A214" s="1" t="s">
        <v>212</v>
      </c>
      <c r="B214">
        <v>181272.00000000003</v>
      </c>
      <c r="C214">
        <v>97344</v>
      </c>
      <c r="D214">
        <v>77999.999999999985</v>
      </c>
      <c r="E214">
        <v>80600</v>
      </c>
      <c r="F214">
        <v>13322.399999999998</v>
      </c>
      <c r="G214">
        <v>499337.61612800008</v>
      </c>
    </row>
    <row r="215" spans="1:7" x14ac:dyDescent="0.35">
      <c r="A215" s="1" t="s">
        <v>213</v>
      </c>
      <c r="B215">
        <v>204703.19999999998</v>
      </c>
      <c r="C215">
        <v>74880</v>
      </c>
      <c r="D215">
        <v>81681.600000000006</v>
      </c>
      <c r="E215">
        <v>67703.999999999985</v>
      </c>
      <c r="F215">
        <v>22204</v>
      </c>
      <c r="G215">
        <v>871955.46963199996</v>
      </c>
    </row>
    <row r="216" spans="1:7" x14ac:dyDescent="0.35">
      <c r="A216" s="1" t="s">
        <v>214</v>
      </c>
      <c r="B216">
        <v>53071.199999999997</v>
      </c>
      <c r="C216">
        <v>60840</v>
      </c>
      <c r="D216">
        <v>72072</v>
      </c>
      <c r="E216">
        <v>48360</v>
      </c>
      <c r="F216">
        <v>19032</v>
      </c>
      <c r="G216">
        <v>944433.14867200004</v>
      </c>
    </row>
    <row r="217" spans="1:7" x14ac:dyDescent="0.35">
      <c r="A217" s="1" t="s">
        <v>215</v>
      </c>
      <c r="B217">
        <v>343980</v>
      </c>
      <c r="C217">
        <v>110864</v>
      </c>
      <c r="D217">
        <v>58499.999999999993</v>
      </c>
      <c r="E217">
        <v>128960</v>
      </c>
      <c r="F217">
        <v>15225.599999999999</v>
      </c>
      <c r="G217">
        <v>651209.20754328475</v>
      </c>
    </row>
    <row r="218" spans="1:7" x14ac:dyDescent="0.35">
      <c r="A218" s="1" t="s">
        <v>216</v>
      </c>
      <c r="B218">
        <v>303263.99999999994</v>
      </c>
      <c r="C218">
        <v>33280</v>
      </c>
      <c r="D218">
        <v>128128</v>
      </c>
      <c r="E218">
        <v>48360</v>
      </c>
      <c r="F218">
        <v>28548</v>
      </c>
      <c r="G218">
        <v>234112.5637403439</v>
      </c>
    </row>
    <row r="219" spans="1:7" x14ac:dyDescent="0.35">
      <c r="A219" s="1" t="s">
        <v>217</v>
      </c>
      <c r="B219">
        <v>546000</v>
      </c>
      <c r="C219">
        <v>75712</v>
      </c>
      <c r="D219">
        <v>19655.999999999996</v>
      </c>
      <c r="E219">
        <v>87048</v>
      </c>
      <c r="F219">
        <v>3172</v>
      </c>
      <c r="G219">
        <v>414658.39750399999</v>
      </c>
    </row>
    <row r="220" spans="1:7" x14ac:dyDescent="0.35">
      <c r="A220" s="1" t="s">
        <v>218</v>
      </c>
      <c r="B220">
        <v>340703.99999999994</v>
      </c>
      <c r="C220">
        <v>45968</v>
      </c>
      <c r="D220">
        <v>59716.799999999996</v>
      </c>
      <c r="E220">
        <v>80600</v>
      </c>
      <c r="F220">
        <v>5709.5999999999995</v>
      </c>
      <c r="G220">
        <v>340351.45314724883</v>
      </c>
    </row>
    <row r="221" spans="1:7" x14ac:dyDescent="0.35">
      <c r="A221" s="1" t="s">
        <v>219</v>
      </c>
      <c r="B221">
        <v>390892.31999999989</v>
      </c>
      <c r="C221">
        <v>82472</v>
      </c>
      <c r="D221">
        <v>80339.999999999985</v>
      </c>
      <c r="E221">
        <v>77376</v>
      </c>
      <c r="F221">
        <v>6344</v>
      </c>
      <c r="G221">
        <v>243487.57288809394</v>
      </c>
    </row>
    <row r="222" spans="1:7" x14ac:dyDescent="0.35">
      <c r="A222" s="1" t="s">
        <v>220</v>
      </c>
      <c r="B222">
        <v>131040</v>
      </c>
      <c r="C222">
        <v>60736</v>
      </c>
      <c r="D222">
        <v>129272</v>
      </c>
      <c r="E222">
        <v>112840</v>
      </c>
      <c r="F222">
        <v>28548</v>
      </c>
      <c r="G222">
        <v>730552.14752000012</v>
      </c>
    </row>
    <row r="223" spans="1:7" x14ac:dyDescent="0.35">
      <c r="A223" s="1" t="s">
        <v>221</v>
      </c>
      <c r="B223">
        <v>512366.39999999997</v>
      </c>
      <c r="C223">
        <v>82472</v>
      </c>
      <c r="D223">
        <v>80339.999999999985</v>
      </c>
      <c r="E223">
        <v>16120</v>
      </c>
      <c r="F223">
        <v>5709.5999999999995</v>
      </c>
      <c r="G223">
        <v>541654.56134400005</v>
      </c>
    </row>
    <row r="224" spans="1:7" x14ac:dyDescent="0.35">
      <c r="A224" s="1" t="s">
        <v>222</v>
      </c>
      <c r="B224">
        <v>351000</v>
      </c>
      <c r="C224">
        <v>25792</v>
      </c>
      <c r="D224">
        <v>45302.399999999994</v>
      </c>
      <c r="E224">
        <v>64480</v>
      </c>
      <c r="F224">
        <v>1903.1999999999998</v>
      </c>
      <c r="G224">
        <v>521698.04743727739</v>
      </c>
    </row>
    <row r="225" spans="1:7" x14ac:dyDescent="0.35">
      <c r="A225" s="1" t="s">
        <v>223</v>
      </c>
      <c r="B225">
        <v>176748.00000000003</v>
      </c>
      <c r="C225">
        <v>116272</v>
      </c>
      <c r="D225">
        <v>75659.999999999985</v>
      </c>
      <c r="E225">
        <v>145080</v>
      </c>
      <c r="F225">
        <v>25376</v>
      </c>
      <c r="G225">
        <v>949372.49804800015</v>
      </c>
    </row>
    <row r="226" spans="1:7" x14ac:dyDescent="0.35">
      <c r="A226" s="1" t="s">
        <v>224</v>
      </c>
      <c r="B226">
        <v>305760</v>
      </c>
      <c r="C226">
        <v>66560</v>
      </c>
      <c r="D226">
        <v>71385.599999999991</v>
      </c>
      <c r="E226">
        <v>96720</v>
      </c>
      <c r="F226">
        <v>1903.1999999999998</v>
      </c>
      <c r="G226">
        <v>505683.26515200001</v>
      </c>
    </row>
    <row r="227" spans="1:7" x14ac:dyDescent="0.35">
      <c r="A227" s="1" t="s">
        <v>225</v>
      </c>
      <c r="B227">
        <v>266448</v>
      </c>
      <c r="C227">
        <v>67392</v>
      </c>
      <c r="D227">
        <v>46019.999999999993</v>
      </c>
      <c r="E227">
        <v>112840</v>
      </c>
      <c r="F227">
        <v>31720</v>
      </c>
      <c r="G227">
        <v>889782.39750400011</v>
      </c>
    </row>
    <row r="228" spans="1:7" x14ac:dyDescent="0.35">
      <c r="A228" s="1" t="s">
        <v>226</v>
      </c>
      <c r="B228">
        <v>527436</v>
      </c>
      <c r="C228">
        <v>65728</v>
      </c>
      <c r="D228">
        <v>64521.599999999999</v>
      </c>
      <c r="E228">
        <v>9672</v>
      </c>
      <c r="F228">
        <v>3806.3999999999996</v>
      </c>
      <c r="G228">
        <v>424310.1571014665</v>
      </c>
    </row>
    <row r="229" spans="1:7" x14ac:dyDescent="0.35">
      <c r="A229" s="1" t="s">
        <v>227</v>
      </c>
      <c r="B229">
        <v>112320</v>
      </c>
      <c r="C229">
        <v>43264</v>
      </c>
      <c r="D229">
        <v>34319.999999999993</v>
      </c>
      <c r="E229">
        <v>58031.999999999993</v>
      </c>
      <c r="F229">
        <v>9516</v>
      </c>
      <c r="G229">
        <v>555877.68537600001</v>
      </c>
    </row>
    <row r="230" spans="1:7" x14ac:dyDescent="0.35">
      <c r="A230" s="1" t="s">
        <v>228</v>
      </c>
      <c r="B230">
        <v>174720</v>
      </c>
      <c r="C230">
        <v>51376</v>
      </c>
      <c r="D230">
        <v>134992</v>
      </c>
      <c r="E230">
        <v>32240</v>
      </c>
      <c r="F230">
        <v>11419.199999999999</v>
      </c>
      <c r="G230">
        <v>346273.46540800005</v>
      </c>
    </row>
    <row r="231" spans="1:7" x14ac:dyDescent="0.35">
      <c r="A231" s="1" t="s">
        <v>229</v>
      </c>
      <c r="B231">
        <v>504504</v>
      </c>
      <c r="C231">
        <v>68952</v>
      </c>
      <c r="D231">
        <v>55379.999999999993</v>
      </c>
      <c r="E231">
        <v>80600</v>
      </c>
      <c r="F231">
        <v>19032</v>
      </c>
      <c r="G231">
        <v>201116.33087209752</v>
      </c>
    </row>
    <row r="232" spans="1:7" x14ac:dyDescent="0.35">
      <c r="A232" s="1" t="s">
        <v>230</v>
      </c>
      <c r="B232">
        <v>412339.20000000001</v>
      </c>
      <c r="C232">
        <v>121680</v>
      </c>
      <c r="D232">
        <v>51947.999999999985</v>
      </c>
      <c r="E232">
        <v>67703.999999999985</v>
      </c>
      <c r="F232">
        <v>28548</v>
      </c>
      <c r="G232">
        <v>790260.45612800005</v>
      </c>
    </row>
    <row r="233" spans="1:7" x14ac:dyDescent="0.35">
      <c r="A233" s="1" t="s">
        <v>231</v>
      </c>
      <c r="B233">
        <v>77875.199999999997</v>
      </c>
      <c r="C233">
        <v>44096</v>
      </c>
      <c r="D233">
        <v>85800</v>
      </c>
      <c r="E233">
        <v>58031.999999999993</v>
      </c>
      <c r="F233">
        <v>19032</v>
      </c>
      <c r="G233">
        <v>796603.74809600005</v>
      </c>
    </row>
    <row r="234" spans="1:7" x14ac:dyDescent="0.35">
      <c r="A234" s="1" t="s">
        <v>232</v>
      </c>
      <c r="B234">
        <v>262079.99999999994</v>
      </c>
      <c r="C234">
        <v>64896</v>
      </c>
      <c r="D234">
        <v>32759.999999999993</v>
      </c>
      <c r="E234">
        <v>19344</v>
      </c>
      <c r="F234">
        <v>25376</v>
      </c>
      <c r="G234">
        <v>829542.53241600003</v>
      </c>
    </row>
    <row r="235" spans="1:7" x14ac:dyDescent="0.35">
      <c r="A235" s="1" t="s">
        <v>233</v>
      </c>
      <c r="B235">
        <v>519791.99999999988</v>
      </c>
      <c r="C235">
        <v>52728</v>
      </c>
      <c r="D235">
        <v>58344</v>
      </c>
      <c r="E235">
        <v>77376</v>
      </c>
      <c r="F235">
        <v>28548</v>
      </c>
      <c r="G235">
        <v>785783.13798400003</v>
      </c>
    </row>
    <row r="236" spans="1:7" x14ac:dyDescent="0.35">
      <c r="A236" s="1" t="s">
        <v>234</v>
      </c>
      <c r="B236">
        <v>62899.199999999997</v>
      </c>
      <c r="C236">
        <v>59072</v>
      </c>
      <c r="D236">
        <v>53768</v>
      </c>
      <c r="E236">
        <v>9672</v>
      </c>
      <c r="F236">
        <v>9516</v>
      </c>
      <c r="G236">
        <v>304599.97651199996</v>
      </c>
    </row>
    <row r="237" spans="1:7" x14ac:dyDescent="0.35">
      <c r="A237" s="1" t="s">
        <v>235</v>
      </c>
      <c r="B237">
        <v>420076.79999999999</v>
      </c>
      <c r="C237">
        <v>29952</v>
      </c>
      <c r="D237">
        <v>39124.800000000003</v>
      </c>
      <c r="E237">
        <v>19344</v>
      </c>
      <c r="F237">
        <v>9516</v>
      </c>
      <c r="G237">
        <v>706917.18240000005</v>
      </c>
    </row>
    <row r="238" spans="1:7" x14ac:dyDescent="0.35">
      <c r="A238" s="1" t="s">
        <v>236</v>
      </c>
      <c r="B238">
        <v>406223.99999999994</v>
      </c>
      <c r="C238">
        <v>105456</v>
      </c>
      <c r="D238">
        <v>52259.999999999993</v>
      </c>
      <c r="E238">
        <v>32240</v>
      </c>
      <c r="F238">
        <v>9516</v>
      </c>
      <c r="G238">
        <v>981544.03110400017</v>
      </c>
    </row>
    <row r="239" spans="1:7" x14ac:dyDescent="0.35">
      <c r="A239" s="1" t="s">
        <v>237</v>
      </c>
      <c r="B239">
        <v>75347.999999999985</v>
      </c>
      <c r="C239">
        <v>60840</v>
      </c>
      <c r="D239">
        <v>34320</v>
      </c>
      <c r="E239">
        <v>77376</v>
      </c>
      <c r="F239">
        <v>19032</v>
      </c>
      <c r="G239">
        <v>505182.37702400004</v>
      </c>
    </row>
    <row r="240" spans="1:7" x14ac:dyDescent="0.35">
      <c r="A240" s="1" t="s">
        <v>238</v>
      </c>
      <c r="B240">
        <v>155500.80000000002</v>
      </c>
      <c r="C240">
        <v>101400</v>
      </c>
      <c r="D240">
        <v>75659.999999999985</v>
      </c>
      <c r="E240">
        <v>128960</v>
      </c>
      <c r="F240">
        <v>1903.1999999999998</v>
      </c>
      <c r="G240">
        <v>900790.54208000004</v>
      </c>
    </row>
    <row r="241" spans="1:7" x14ac:dyDescent="0.35">
      <c r="A241" s="1" t="s">
        <v>239</v>
      </c>
      <c r="B241">
        <v>150696</v>
      </c>
      <c r="C241">
        <v>77376</v>
      </c>
      <c r="D241">
        <v>67267.199999999997</v>
      </c>
      <c r="E241">
        <v>19344</v>
      </c>
      <c r="F241">
        <v>13322.399999999998</v>
      </c>
      <c r="G241">
        <v>160856.33122126444</v>
      </c>
    </row>
    <row r="242" spans="1:7" x14ac:dyDescent="0.35">
      <c r="A242" s="1" t="s">
        <v>240</v>
      </c>
      <c r="B242">
        <v>74131.199999999997</v>
      </c>
      <c r="C242">
        <v>46592</v>
      </c>
      <c r="D242">
        <v>98384</v>
      </c>
      <c r="E242">
        <v>19344</v>
      </c>
      <c r="F242">
        <v>3172</v>
      </c>
      <c r="G242">
        <v>790348.872768</v>
      </c>
    </row>
    <row r="243" spans="1:7" x14ac:dyDescent="0.35">
      <c r="A243" s="1" t="s">
        <v>241</v>
      </c>
      <c r="B243">
        <v>163800</v>
      </c>
      <c r="C243">
        <v>40768</v>
      </c>
      <c r="D243">
        <v>56159.999999999993</v>
      </c>
      <c r="E243">
        <v>64480</v>
      </c>
      <c r="F243">
        <v>13322.399999999998</v>
      </c>
      <c r="G243">
        <v>324446.52947200002</v>
      </c>
    </row>
    <row r="244" spans="1:7" x14ac:dyDescent="0.35">
      <c r="A244" s="1" t="s">
        <v>242</v>
      </c>
      <c r="B244">
        <v>399360</v>
      </c>
      <c r="C244">
        <v>70304</v>
      </c>
      <c r="D244">
        <v>36379.199999999997</v>
      </c>
      <c r="E244">
        <v>145080</v>
      </c>
      <c r="F244">
        <v>11419.199999999999</v>
      </c>
      <c r="G244">
        <v>228564.46117435815</v>
      </c>
    </row>
    <row r="245" spans="1:7" x14ac:dyDescent="0.35">
      <c r="A245" s="1" t="s">
        <v>243</v>
      </c>
      <c r="B245">
        <v>162302.39999999997</v>
      </c>
      <c r="C245">
        <v>105456</v>
      </c>
      <c r="D245">
        <v>65208</v>
      </c>
      <c r="E245">
        <v>80600</v>
      </c>
      <c r="F245">
        <v>25376</v>
      </c>
      <c r="G245">
        <v>485314.09336335654</v>
      </c>
    </row>
    <row r="246" spans="1:7" x14ac:dyDescent="0.35">
      <c r="A246" s="1" t="s">
        <v>244</v>
      </c>
      <c r="B246">
        <v>273611.51999999996</v>
      </c>
      <c r="C246">
        <v>41600</v>
      </c>
      <c r="D246">
        <v>84239.999999999985</v>
      </c>
      <c r="E246">
        <v>19344</v>
      </c>
      <c r="F246">
        <v>1903.1999999999998</v>
      </c>
      <c r="G246">
        <v>398258.71250488667</v>
      </c>
    </row>
    <row r="247" spans="1:7" x14ac:dyDescent="0.35">
      <c r="A247" s="1" t="s">
        <v>245</v>
      </c>
      <c r="B247">
        <v>791700</v>
      </c>
      <c r="C247">
        <v>81120</v>
      </c>
      <c r="D247">
        <v>44616</v>
      </c>
      <c r="E247">
        <v>32240</v>
      </c>
      <c r="F247">
        <v>13322.399999999998</v>
      </c>
      <c r="G247">
        <v>197393.93254521571</v>
      </c>
    </row>
    <row r="248" spans="1:7" x14ac:dyDescent="0.35">
      <c r="A248" s="1" t="s">
        <v>246</v>
      </c>
      <c r="B248">
        <v>589680</v>
      </c>
      <c r="C248">
        <v>79872</v>
      </c>
      <c r="D248">
        <v>21059.999999999996</v>
      </c>
      <c r="E248">
        <v>29015.999999999996</v>
      </c>
      <c r="F248">
        <v>28548</v>
      </c>
      <c r="G248">
        <v>684918.04076800006</v>
      </c>
    </row>
    <row r="249" spans="1:7" x14ac:dyDescent="0.35">
      <c r="A249" s="1" t="s">
        <v>247</v>
      </c>
      <c r="B249">
        <v>458640</v>
      </c>
      <c r="C249">
        <v>79872</v>
      </c>
      <c r="D249">
        <v>45988.800000000003</v>
      </c>
      <c r="E249">
        <v>38688</v>
      </c>
      <c r="F249">
        <v>31720</v>
      </c>
      <c r="G249">
        <v>802803.255488</v>
      </c>
    </row>
    <row r="250" spans="1:7" x14ac:dyDescent="0.35">
      <c r="A250" s="1" t="s">
        <v>248</v>
      </c>
      <c r="B250">
        <v>121305.59999999999</v>
      </c>
      <c r="C250">
        <v>51584</v>
      </c>
      <c r="D250">
        <v>28547.999999999993</v>
      </c>
      <c r="E250">
        <v>87048</v>
      </c>
      <c r="F250">
        <v>9516</v>
      </c>
      <c r="G250">
        <v>936282.71692799998</v>
      </c>
    </row>
    <row r="251" spans="1:7" x14ac:dyDescent="0.35">
      <c r="A251" s="1" t="s">
        <v>249</v>
      </c>
      <c r="B251">
        <v>483600</v>
      </c>
      <c r="C251">
        <v>75712</v>
      </c>
      <c r="D251">
        <v>29015.999999999996</v>
      </c>
      <c r="E251">
        <v>64480</v>
      </c>
      <c r="F251">
        <v>5709.5999999999995</v>
      </c>
      <c r="G251">
        <v>556023.50611854228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844E-22AF-4539-AF1F-6CB59E893CDA}">
  <dimension ref="A1:F245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C2">
        <v>11.200000000000001</v>
      </c>
      <c r="D2">
        <v>36.4</v>
      </c>
    </row>
    <row r="3" spans="1:6" x14ac:dyDescent="0.35">
      <c r="A3" s="1" t="s">
        <v>2</v>
      </c>
      <c r="B3">
        <v>11.200000000000001</v>
      </c>
    </row>
    <row r="4" spans="1:6" x14ac:dyDescent="0.35">
      <c r="A4" s="1" t="s">
        <v>3</v>
      </c>
      <c r="B4">
        <v>4.8000000000000007</v>
      </c>
      <c r="D4">
        <v>20</v>
      </c>
    </row>
    <row r="5" spans="1:6" x14ac:dyDescent="0.35">
      <c r="A5" s="1" t="s">
        <v>4</v>
      </c>
      <c r="D5">
        <v>27.6</v>
      </c>
    </row>
    <row r="6" spans="1:6" x14ac:dyDescent="0.35">
      <c r="A6" s="1" t="s">
        <v>5</v>
      </c>
      <c r="B6">
        <v>3.6</v>
      </c>
      <c r="D6">
        <v>29.6</v>
      </c>
      <c r="F6">
        <v>1.6</v>
      </c>
    </row>
    <row r="7" spans="1:6" x14ac:dyDescent="0.35">
      <c r="A7" s="1" t="s">
        <v>6</v>
      </c>
      <c r="C7">
        <v>2.4000000000000004</v>
      </c>
    </row>
    <row r="8" spans="1:6" x14ac:dyDescent="0.35">
      <c r="A8" s="1" t="s">
        <v>7</v>
      </c>
      <c r="B8">
        <v>4.8000000000000007</v>
      </c>
      <c r="C8">
        <v>5.6000000000000005</v>
      </c>
      <c r="D8">
        <v>23.6</v>
      </c>
      <c r="F8">
        <v>3.2</v>
      </c>
    </row>
    <row r="9" spans="1:6" x14ac:dyDescent="0.35">
      <c r="A9" s="1" t="s">
        <v>8</v>
      </c>
      <c r="E9">
        <v>2.8000000000000003</v>
      </c>
      <c r="F9">
        <v>0.8</v>
      </c>
    </row>
    <row r="10" spans="1:6" x14ac:dyDescent="0.35">
      <c r="A10" s="1" t="s">
        <v>9</v>
      </c>
      <c r="B10">
        <v>2</v>
      </c>
      <c r="D10">
        <v>16.8</v>
      </c>
      <c r="F10">
        <v>4</v>
      </c>
    </row>
    <row r="11" spans="1:6" x14ac:dyDescent="0.35">
      <c r="A11" s="1" t="s">
        <v>10</v>
      </c>
      <c r="B11">
        <v>2</v>
      </c>
      <c r="D11">
        <v>26.8</v>
      </c>
    </row>
    <row r="12" spans="1:6" x14ac:dyDescent="0.35">
      <c r="A12" s="1" t="s">
        <v>11</v>
      </c>
      <c r="B12">
        <v>13.200000000000001</v>
      </c>
      <c r="C12">
        <v>13.200000000000001</v>
      </c>
      <c r="E12">
        <v>2</v>
      </c>
    </row>
    <row r="13" spans="1:6" x14ac:dyDescent="0.35">
      <c r="A13" s="1" t="s">
        <v>12</v>
      </c>
      <c r="B13">
        <v>9.2000000000000011</v>
      </c>
      <c r="C13">
        <v>9.2000000000000011</v>
      </c>
      <c r="D13">
        <v>31.6</v>
      </c>
      <c r="E13">
        <v>0.4</v>
      </c>
    </row>
    <row r="14" spans="1:6" x14ac:dyDescent="0.35">
      <c r="A14" s="1" t="s">
        <v>13</v>
      </c>
      <c r="C14">
        <v>6</v>
      </c>
      <c r="D14">
        <v>26</v>
      </c>
      <c r="E14">
        <v>0.8</v>
      </c>
      <c r="F14">
        <v>3.6</v>
      </c>
    </row>
    <row r="15" spans="1:6" x14ac:dyDescent="0.35">
      <c r="A15" s="1" t="s">
        <v>14</v>
      </c>
      <c r="E15">
        <v>0.4</v>
      </c>
    </row>
    <row r="16" spans="1:6" x14ac:dyDescent="0.35">
      <c r="A16" s="1" t="s">
        <v>15</v>
      </c>
      <c r="D16">
        <v>32</v>
      </c>
      <c r="E16">
        <v>3.2</v>
      </c>
    </row>
    <row r="17" spans="1:6" x14ac:dyDescent="0.35">
      <c r="A17" s="1" t="s">
        <v>16</v>
      </c>
      <c r="B17">
        <v>10.4</v>
      </c>
      <c r="C17">
        <v>10.4</v>
      </c>
      <c r="D17">
        <v>43.2</v>
      </c>
    </row>
    <row r="18" spans="1:6" x14ac:dyDescent="0.35">
      <c r="A18" s="1" t="s">
        <v>17</v>
      </c>
      <c r="B18">
        <v>3.5999999999999996</v>
      </c>
      <c r="E18">
        <v>0.8</v>
      </c>
      <c r="F18">
        <v>4</v>
      </c>
    </row>
    <row r="19" spans="1:6" x14ac:dyDescent="0.35">
      <c r="A19" s="1" t="s">
        <v>19</v>
      </c>
      <c r="C19">
        <v>2.4000000000000004</v>
      </c>
    </row>
    <row r="20" spans="1:6" x14ac:dyDescent="0.35">
      <c r="A20" s="1" t="s">
        <v>20</v>
      </c>
      <c r="B20">
        <v>2</v>
      </c>
      <c r="C20">
        <v>11.200000000000001</v>
      </c>
      <c r="D20">
        <v>34</v>
      </c>
      <c r="E20">
        <v>2</v>
      </c>
    </row>
    <row r="21" spans="1:6" x14ac:dyDescent="0.35">
      <c r="A21" s="1" t="s">
        <v>21</v>
      </c>
      <c r="B21">
        <v>4</v>
      </c>
      <c r="C21">
        <v>4</v>
      </c>
      <c r="F21">
        <v>0.4</v>
      </c>
    </row>
    <row r="22" spans="1:6" x14ac:dyDescent="0.35">
      <c r="A22" s="1" t="s">
        <v>22</v>
      </c>
      <c r="E22">
        <v>2.8000000000000003</v>
      </c>
      <c r="F22">
        <v>1.2000000000000002</v>
      </c>
    </row>
    <row r="23" spans="1:6" x14ac:dyDescent="0.35">
      <c r="A23" s="1" t="s">
        <v>23</v>
      </c>
      <c r="B23">
        <v>12</v>
      </c>
      <c r="D23">
        <v>22.8</v>
      </c>
      <c r="F23">
        <v>1.6</v>
      </c>
    </row>
    <row r="24" spans="1:6" x14ac:dyDescent="0.35">
      <c r="A24" s="1" t="s">
        <v>24</v>
      </c>
      <c r="C24">
        <v>6.4</v>
      </c>
      <c r="F24">
        <v>1.2000000000000002</v>
      </c>
    </row>
    <row r="25" spans="1:6" x14ac:dyDescent="0.35">
      <c r="A25" s="1" t="s">
        <v>25</v>
      </c>
      <c r="C25">
        <v>13.200000000000001</v>
      </c>
      <c r="E25">
        <v>3.2</v>
      </c>
      <c r="F25">
        <v>2.8000000000000003</v>
      </c>
    </row>
    <row r="26" spans="1:6" x14ac:dyDescent="0.35">
      <c r="A26" s="1" t="s">
        <v>26</v>
      </c>
      <c r="C26">
        <v>6.8000000000000007</v>
      </c>
      <c r="D26">
        <v>28.400000000000002</v>
      </c>
      <c r="E26">
        <v>1.6</v>
      </c>
    </row>
    <row r="27" spans="1:6" x14ac:dyDescent="0.35">
      <c r="A27" s="1" t="s">
        <v>27</v>
      </c>
      <c r="B27">
        <v>7.6000000000000005</v>
      </c>
      <c r="D27">
        <v>22</v>
      </c>
      <c r="E27">
        <v>0.8</v>
      </c>
      <c r="F27">
        <v>2.8000000000000003</v>
      </c>
    </row>
    <row r="28" spans="1:6" x14ac:dyDescent="0.35">
      <c r="A28" s="1" t="s">
        <v>28</v>
      </c>
      <c r="B28">
        <v>9.6000000000000014</v>
      </c>
      <c r="C28">
        <v>9.6000000000000014</v>
      </c>
      <c r="F28">
        <v>0.8</v>
      </c>
    </row>
    <row r="29" spans="1:6" x14ac:dyDescent="0.35">
      <c r="A29" s="1" t="s">
        <v>29</v>
      </c>
      <c r="C29">
        <v>8</v>
      </c>
      <c r="D29">
        <v>42.800000000000004</v>
      </c>
    </row>
    <row r="30" spans="1:6" x14ac:dyDescent="0.35">
      <c r="A30" s="1" t="s">
        <v>30</v>
      </c>
      <c r="B30">
        <v>9.6000000000000014</v>
      </c>
      <c r="C30">
        <v>9.6000000000000014</v>
      </c>
      <c r="D30">
        <v>22</v>
      </c>
      <c r="E30">
        <v>1.6</v>
      </c>
    </row>
    <row r="31" spans="1:6" x14ac:dyDescent="0.35">
      <c r="A31" s="1" t="s">
        <v>31</v>
      </c>
      <c r="B31">
        <v>8</v>
      </c>
      <c r="C31">
        <v>8</v>
      </c>
      <c r="E31">
        <v>0.8</v>
      </c>
      <c r="F31">
        <v>3.6</v>
      </c>
    </row>
    <row r="32" spans="1:6" x14ac:dyDescent="0.35">
      <c r="A32" s="1" t="s">
        <v>34</v>
      </c>
      <c r="D32">
        <v>44</v>
      </c>
    </row>
    <row r="33" spans="1:6" x14ac:dyDescent="0.35">
      <c r="A33" s="1" t="s">
        <v>35</v>
      </c>
      <c r="C33">
        <v>6</v>
      </c>
    </row>
    <row r="34" spans="1:6" x14ac:dyDescent="0.35">
      <c r="A34" s="1" t="s">
        <v>36</v>
      </c>
      <c r="E34">
        <v>0.8</v>
      </c>
    </row>
    <row r="35" spans="1:6" x14ac:dyDescent="0.35">
      <c r="A35" s="1" t="s">
        <v>37</v>
      </c>
      <c r="B35">
        <v>4</v>
      </c>
      <c r="D35">
        <v>38.400000000000006</v>
      </c>
      <c r="F35">
        <v>1.6</v>
      </c>
    </row>
    <row r="36" spans="1:6" x14ac:dyDescent="0.35">
      <c r="A36" s="1" t="s">
        <v>38</v>
      </c>
      <c r="C36">
        <v>2.8000000000000003</v>
      </c>
      <c r="D36">
        <v>43.2</v>
      </c>
    </row>
    <row r="37" spans="1:6" x14ac:dyDescent="0.35">
      <c r="A37" s="1" t="s">
        <v>39</v>
      </c>
      <c r="D37">
        <v>21.200000000000003</v>
      </c>
      <c r="F37">
        <v>3.2</v>
      </c>
    </row>
    <row r="38" spans="1:6" x14ac:dyDescent="0.35">
      <c r="A38" s="1" t="s">
        <v>40</v>
      </c>
      <c r="B38">
        <v>4.4000000000000004</v>
      </c>
      <c r="D38">
        <v>45.6</v>
      </c>
      <c r="E38">
        <v>2.4000000000000004</v>
      </c>
      <c r="F38">
        <v>0.4</v>
      </c>
    </row>
    <row r="39" spans="1:6" x14ac:dyDescent="0.35">
      <c r="A39" s="1" t="s">
        <v>41</v>
      </c>
      <c r="B39">
        <v>4.4000000000000004</v>
      </c>
    </row>
    <row r="40" spans="1:6" x14ac:dyDescent="0.35">
      <c r="A40" s="1" t="s">
        <v>42</v>
      </c>
      <c r="B40">
        <v>10.8</v>
      </c>
      <c r="F40">
        <v>2.4000000000000004</v>
      </c>
    </row>
    <row r="41" spans="1:6" x14ac:dyDescent="0.35">
      <c r="A41" s="1" t="s">
        <v>43</v>
      </c>
      <c r="F41">
        <v>4</v>
      </c>
    </row>
    <row r="42" spans="1:6" x14ac:dyDescent="0.35">
      <c r="A42" s="1" t="s">
        <v>44</v>
      </c>
      <c r="D42">
        <v>44.800000000000004</v>
      </c>
      <c r="F42">
        <v>1.2000000000000002</v>
      </c>
    </row>
    <row r="43" spans="1:6" x14ac:dyDescent="0.35">
      <c r="A43" s="1" t="s">
        <v>45</v>
      </c>
      <c r="D43">
        <v>40.400000000000006</v>
      </c>
      <c r="E43">
        <v>2</v>
      </c>
      <c r="F43">
        <v>0.4</v>
      </c>
    </row>
    <row r="44" spans="1:6" x14ac:dyDescent="0.35">
      <c r="A44" s="1" t="s">
        <v>47</v>
      </c>
      <c r="F44">
        <v>1.6</v>
      </c>
    </row>
    <row r="45" spans="1:6" x14ac:dyDescent="0.35">
      <c r="A45" s="1" t="s">
        <v>48</v>
      </c>
      <c r="B45">
        <v>7.2</v>
      </c>
      <c r="C45">
        <v>7.2</v>
      </c>
      <c r="E45">
        <v>2</v>
      </c>
    </row>
    <row r="46" spans="1:6" x14ac:dyDescent="0.35">
      <c r="A46" s="1" t="s">
        <v>49</v>
      </c>
      <c r="B46">
        <v>8.8000000000000007</v>
      </c>
      <c r="C46">
        <v>10.4</v>
      </c>
      <c r="D46">
        <v>17.600000000000001</v>
      </c>
      <c r="E46">
        <v>1.2000000000000002</v>
      </c>
    </row>
    <row r="47" spans="1:6" x14ac:dyDescent="0.35">
      <c r="A47" s="1" t="s">
        <v>50</v>
      </c>
      <c r="B47">
        <v>11.200000000000001</v>
      </c>
      <c r="E47">
        <v>2.4000000000000004</v>
      </c>
      <c r="F47">
        <v>3.2</v>
      </c>
    </row>
    <row r="48" spans="1:6" x14ac:dyDescent="0.35">
      <c r="A48" s="1" t="s">
        <v>51</v>
      </c>
      <c r="B48">
        <v>4.8000000000000007</v>
      </c>
      <c r="D48">
        <v>18.400000000000002</v>
      </c>
    </row>
    <row r="49" spans="1:6" x14ac:dyDescent="0.35">
      <c r="A49" s="1" t="s">
        <v>52</v>
      </c>
      <c r="B49">
        <v>3.2</v>
      </c>
      <c r="C49">
        <v>3.2</v>
      </c>
      <c r="E49">
        <v>2.8000000000000003</v>
      </c>
      <c r="F49">
        <v>3.6</v>
      </c>
    </row>
    <row r="50" spans="1:6" x14ac:dyDescent="0.35">
      <c r="A50" s="1" t="s">
        <v>53</v>
      </c>
      <c r="E50">
        <v>1.2000000000000002</v>
      </c>
    </row>
    <row r="51" spans="1:6" x14ac:dyDescent="0.35">
      <c r="A51" s="1" t="s">
        <v>54</v>
      </c>
      <c r="E51">
        <v>2</v>
      </c>
    </row>
    <row r="52" spans="1:6" x14ac:dyDescent="0.35">
      <c r="A52" s="1" t="s">
        <v>55</v>
      </c>
      <c r="D52">
        <v>32.4</v>
      </c>
      <c r="E52">
        <v>2.4000000000000004</v>
      </c>
    </row>
    <row r="53" spans="1:6" x14ac:dyDescent="0.35">
      <c r="A53" s="1" t="s">
        <v>56</v>
      </c>
      <c r="C53">
        <v>2.8000000000000003</v>
      </c>
      <c r="F53">
        <v>2</v>
      </c>
    </row>
    <row r="54" spans="1:6" x14ac:dyDescent="0.35">
      <c r="A54" s="1" t="s">
        <v>57</v>
      </c>
      <c r="B54">
        <v>2.4000000000000004</v>
      </c>
    </row>
    <row r="55" spans="1:6" x14ac:dyDescent="0.35">
      <c r="A55" s="1" t="s">
        <v>58</v>
      </c>
      <c r="B55">
        <v>9.2000000000000011</v>
      </c>
      <c r="E55">
        <v>2.4000000000000004</v>
      </c>
      <c r="F55">
        <v>3.2</v>
      </c>
    </row>
    <row r="56" spans="1:6" x14ac:dyDescent="0.35">
      <c r="A56" s="1" t="s">
        <v>59</v>
      </c>
      <c r="B56">
        <v>2.4000000000000004</v>
      </c>
      <c r="C56">
        <v>13.600000000000001</v>
      </c>
      <c r="D56">
        <v>19.600000000000001</v>
      </c>
      <c r="E56">
        <v>2.8000000000000003</v>
      </c>
      <c r="F56">
        <v>1.2000000000000002</v>
      </c>
    </row>
    <row r="57" spans="1:6" x14ac:dyDescent="0.35">
      <c r="A57" s="1" t="s">
        <v>60</v>
      </c>
      <c r="C57">
        <v>9.6000000000000014</v>
      </c>
    </row>
    <row r="58" spans="1:6" x14ac:dyDescent="0.35">
      <c r="A58" s="1" t="s">
        <v>61</v>
      </c>
      <c r="C58">
        <v>2.8000000000000003</v>
      </c>
      <c r="F58">
        <v>1.6</v>
      </c>
    </row>
    <row r="59" spans="1:6" x14ac:dyDescent="0.35">
      <c r="A59" s="1" t="s">
        <v>62</v>
      </c>
      <c r="C59">
        <v>9.2000000000000011</v>
      </c>
      <c r="F59">
        <v>2.4000000000000004</v>
      </c>
    </row>
    <row r="60" spans="1:6" x14ac:dyDescent="0.35">
      <c r="A60" s="1" t="s">
        <v>63</v>
      </c>
      <c r="C60">
        <v>5.6000000000000005</v>
      </c>
      <c r="D60">
        <v>30</v>
      </c>
    </row>
    <row r="61" spans="1:6" x14ac:dyDescent="0.35">
      <c r="A61" s="1" t="s">
        <v>64</v>
      </c>
      <c r="B61">
        <v>9.6000000000000014</v>
      </c>
      <c r="C61">
        <v>9.6000000000000014</v>
      </c>
      <c r="D61">
        <v>45.6</v>
      </c>
      <c r="F61">
        <v>2</v>
      </c>
    </row>
    <row r="62" spans="1:6" x14ac:dyDescent="0.35">
      <c r="A62" s="1" t="s">
        <v>65</v>
      </c>
      <c r="C62">
        <v>6</v>
      </c>
    </row>
    <row r="63" spans="1:6" x14ac:dyDescent="0.35">
      <c r="A63" s="1" t="s">
        <v>66</v>
      </c>
      <c r="B63">
        <v>2.4000000000000004</v>
      </c>
      <c r="E63">
        <v>3.2</v>
      </c>
      <c r="F63">
        <v>0.4</v>
      </c>
    </row>
    <row r="64" spans="1:6" x14ac:dyDescent="0.35">
      <c r="A64" s="1" t="s">
        <v>67</v>
      </c>
      <c r="B64">
        <v>3.2</v>
      </c>
      <c r="D64">
        <v>18.8</v>
      </c>
      <c r="E64">
        <v>2.4000000000000004</v>
      </c>
      <c r="F64">
        <v>3.2</v>
      </c>
    </row>
    <row r="65" spans="1:6" x14ac:dyDescent="0.35">
      <c r="A65" s="1" t="s">
        <v>68</v>
      </c>
      <c r="C65">
        <v>5.2</v>
      </c>
      <c r="D65">
        <v>36.800000000000004</v>
      </c>
      <c r="E65">
        <v>1.2000000000000002</v>
      </c>
    </row>
    <row r="66" spans="1:6" x14ac:dyDescent="0.35">
      <c r="A66" s="1" t="s">
        <v>69</v>
      </c>
      <c r="D66">
        <v>44.800000000000004</v>
      </c>
      <c r="F66">
        <v>2.4000000000000004</v>
      </c>
    </row>
    <row r="67" spans="1:6" x14ac:dyDescent="0.35">
      <c r="A67" s="1" t="s">
        <v>70</v>
      </c>
      <c r="E67">
        <v>0.8</v>
      </c>
    </row>
    <row r="68" spans="1:6" x14ac:dyDescent="0.35">
      <c r="A68" s="1" t="s">
        <v>71</v>
      </c>
      <c r="D68">
        <v>29.200000000000003</v>
      </c>
      <c r="F68">
        <v>2.4000000000000004</v>
      </c>
    </row>
    <row r="69" spans="1:6" x14ac:dyDescent="0.35">
      <c r="A69" s="1" t="s">
        <v>72</v>
      </c>
      <c r="E69">
        <v>0.4</v>
      </c>
      <c r="F69">
        <v>3.2</v>
      </c>
    </row>
    <row r="70" spans="1:6" x14ac:dyDescent="0.35">
      <c r="A70" s="1" t="s">
        <v>73</v>
      </c>
      <c r="E70">
        <v>1.6</v>
      </c>
    </row>
    <row r="71" spans="1:6" x14ac:dyDescent="0.35">
      <c r="A71" s="1" t="s">
        <v>74</v>
      </c>
      <c r="B71">
        <v>8.8000000000000007</v>
      </c>
      <c r="D71">
        <v>31.6</v>
      </c>
      <c r="E71">
        <v>0.4</v>
      </c>
    </row>
    <row r="72" spans="1:6" x14ac:dyDescent="0.35">
      <c r="A72" s="1" t="s">
        <v>75</v>
      </c>
      <c r="B72">
        <v>12.8</v>
      </c>
      <c r="E72">
        <v>3.2</v>
      </c>
      <c r="F72">
        <v>3.6</v>
      </c>
    </row>
    <row r="73" spans="1:6" x14ac:dyDescent="0.35">
      <c r="A73" s="1" t="s">
        <v>76</v>
      </c>
      <c r="B73">
        <v>9.6000000000000014</v>
      </c>
      <c r="E73">
        <v>1.6</v>
      </c>
      <c r="F73">
        <v>0.4</v>
      </c>
    </row>
    <row r="74" spans="1:6" x14ac:dyDescent="0.35">
      <c r="A74" s="1" t="s">
        <v>78</v>
      </c>
      <c r="C74">
        <v>7.2</v>
      </c>
      <c r="D74">
        <v>44.800000000000004</v>
      </c>
    </row>
    <row r="75" spans="1:6" x14ac:dyDescent="0.35">
      <c r="A75" s="1" t="s">
        <v>79</v>
      </c>
      <c r="C75">
        <v>13.600000000000001</v>
      </c>
      <c r="D75">
        <v>27.6</v>
      </c>
      <c r="E75">
        <v>3.6</v>
      </c>
      <c r="F75">
        <v>3.6</v>
      </c>
    </row>
    <row r="76" spans="1:6" x14ac:dyDescent="0.35">
      <c r="A76" s="1" t="s">
        <v>80</v>
      </c>
      <c r="C76">
        <v>4</v>
      </c>
      <c r="F76">
        <v>1.2000000000000002</v>
      </c>
    </row>
    <row r="77" spans="1:6" x14ac:dyDescent="0.35">
      <c r="A77" s="1" t="s">
        <v>81</v>
      </c>
      <c r="B77">
        <v>8.8000000000000007</v>
      </c>
      <c r="D77">
        <v>27.6</v>
      </c>
      <c r="E77">
        <v>0.4</v>
      </c>
      <c r="F77">
        <v>2.8000000000000003</v>
      </c>
    </row>
    <row r="78" spans="1:6" x14ac:dyDescent="0.35">
      <c r="A78" s="1" t="s">
        <v>82</v>
      </c>
      <c r="D78">
        <v>41.6</v>
      </c>
      <c r="E78">
        <v>3.2</v>
      </c>
    </row>
    <row r="79" spans="1:6" x14ac:dyDescent="0.35">
      <c r="A79" s="1" t="s">
        <v>83</v>
      </c>
      <c r="B79">
        <v>2</v>
      </c>
      <c r="F79">
        <v>1.2000000000000002</v>
      </c>
    </row>
    <row r="80" spans="1:6" x14ac:dyDescent="0.35">
      <c r="A80" s="1" t="s">
        <v>84</v>
      </c>
      <c r="E80">
        <v>3.2</v>
      </c>
    </row>
    <row r="81" spans="1:6" x14ac:dyDescent="0.35">
      <c r="A81" s="1" t="s">
        <v>85</v>
      </c>
      <c r="D81">
        <v>30.400000000000002</v>
      </c>
      <c r="E81">
        <v>2</v>
      </c>
    </row>
    <row r="82" spans="1:6" x14ac:dyDescent="0.35">
      <c r="A82" s="1" t="s">
        <v>86</v>
      </c>
      <c r="B82">
        <v>10</v>
      </c>
      <c r="E82">
        <v>1.2000000000000002</v>
      </c>
    </row>
    <row r="83" spans="1:6" x14ac:dyDescent="0.35">
      <c r="A83" s="1" t="s">
        <v>87</v>
      </c>
      <c r="B83">
        <v>2.8000000000000007</v>
      </c>
      <c r="C83">
        <v>2.8000000000000003</v>
      </c>
      <c r="E83">
        <v>0.4</v>
      </c>
    </row>
    <row r="84" spans="1:6" x14ac:dyDescent="0.35">
      <c r="A84" s="1" t="s">
        <v>88</v>
      </c>
      <c r="B84">
        <v>9.6000000000000014</v>
      </c>
      <c r="C84">
        <v>9.6000000000000014</v>
      </c>
      <c r="E84">
        <v>0.4</v>
      </c>
      <c r="F84">
        <v>2.4000000000000004</v>
      </c>
    </row>
    <row r="85" spans="1:6" x14ac:dyDescent="0.35">
      <c r="A85" s="1" t="s">
        <v>90</v>
      </c>
      <c r="C85">
        <v>12.8</v>
      </c>
      <c r="D85">
        <v>47.2</v>
      </c>
      <c r="E85">
        <v>2.4000000000000004</v>
      </c>
    </row>
    <row r="86" spans="1:6" x14ac:dyDescent="0.35">
      <c r="A86" s="1" t="s">
        <v>91</v>
      </c>
      <c r="B86">
        <v>12.4</v>
      </c>
      <c r="C86">
        <v>12.4</v>
      </c>
      <c r="F86">
        <v>2.8000000000000003</v>
      </c>
    </row>
    <row r="87" spans="1:6" x14ac:dyDescent="0.35">
      <c r="A87" s="1" t="s">
        <v>92</v>
      </c>
      <c r="D87">
        <v>20.8</v>
      </c>
    </row>
    <row r="88" spans="1:6" x14ac:dyDescent="0.35">
      <c r="A88" s="1" t="s">
        <v>93</v>
      </c>
      <c r="C88">
        <v>11.600000000000001</v>
      </c>
      <c r="E88">
        <v>2</v>
      </c>
    </row>
    <row r="89" spans="1:6" x14ac:dyDescent="0.35">
      <c r="A89" s="1" t="s">
        <v>94</v>
      </c>
      <c r="F89">
        <v>3.2</v>
      </c>
    </row>
    <row r="90" spans="1:6" x14ac:dyDescent="0.35">
      <c r="A90" s="1" t="s">
        <v>95</v>
      </c>
      <c r="B90">
        <v>5.2</v>
      </c>
      <c r="C90">
        <v>5.2</v>
      </c>
      <c r="D90">
        <v>40.400000000000006</v>
      </c>
      <c r="E90">
        <v>2.8000000000000003</v>
      </c>
    </row>
    <row r="91" spans="1:6" x14ac:dyDescent="0.35">
      <c r="A91" s="1" t="s">
        <v>96</v>
      </c>
      <c r="D91">
        <v>21.6</v>
      </c>
    </row>
    <row r="92" spans="1:6" x14ac:dyDescent="0.35">
      <c r="A92" s="1" t="s">
        <v>97</v>
      </c>
      <c r="E92">
        <v>1.6</v>
      </c>
    </row>
    <row r="93" spans="1:6" x14ac:dyDescent="0.35">
      <c r="A93" s="1" t="s">
        <v>98</v>
      </c>
      <c r="B93">
        <v>8</v>
      </c>
      <c r="C93">
        <v>12.8</v>
      </c>
      <c r="D93">
        <v>38</v>
      </c>
      <c r="E93">
        <v>0.4</v>
      </c>
    </row>
    <row r="94" spans="1:6" x14ac:dyDescent="0.35">
      <c r="A94" s="1" t="s">
        <v>99</v>
      </c>
      <c r="B94">
        <v>9.6000000000000014</v>
      </c>
      <c r="C94">
        <v>9.6000000000000014</v>
      </c>
      <c r="D94">
        <v>36</v>
      </c>
      <c r="E94">
        <v>3.6</v>
      </c>
      <c r="F94">
        <v>2.8000000000000003</v>
      </c>
    </row>
    <row r="95" spans="1:6" x14ac:dyDescent="0.35">
      <c r="A95" s="1" t="s">
        <v>100</v>
      </c>
      <c r="C95">
        <v>8</v>
      </c>
      <c r="E95">
        <v>1.2000000000000002</v>
      </c>
    </row>
    <row r="96" spans="1:6" x14ac:dyDescent="0.35">
      <c r="A96" s="1" t="s">
        <v>101</v>
      </c>
      <c r="B96">
        <v>3.2</v>
      </c>
      <c r="C96">
        <v>7.2</v>
      </c>
      <c r="D96">
        <v>17.600000000000001</v>
      </c>
      <c r="E96">
        <v>2.4000000000000004</v>
      </c>
      <c r="F96">
        <v>0.8</v>
      </c>
    </row>
    <row r="97" spans="1:6" x14ac:dyDescent="0.35">
      <c r="A97" s="1" t="s">
        <v>102</v>
      </c>
      <c r="C97">
        <v>11.600000000000001</v>
      </c>
      <c r="D97">
        <v>33.6</v>
      </c>
      <c r="E97">
        <v>1.6</v>
      </c>
      <c r="F97">
        <v>1.6</v>
      </c>
    </row>
    <row r="98" spans="1:6" x14ac:dyDescent="0.35">
      <c r="A98" s="1" t="s">
        <v>103</v>
      </c>
      <c r="C98">
        <v>8.8000000000000007</v>
      </c>
      <c r="E98">
        <v>1.2000000000000002</v>
      </c>
      <c r="F98">
        <v>2.4000000000000004</v>
      </c>
    </row>
    <row r="99" spans="1:6" x14ac:dyDescent="0.35">
      <c r="A99" s="1" t="s">
        <v>104</v>
      </c>
      <c r="D99">
        <v>26.8</v>
      </c>
      <c r="E99">
        <v>0.4</v>
      </c>
      <c r="F99">
        <v>1.2000000000000002</v>
      </c>
    </row>
    <row r="100" spans="1:6" x14ac:dyDescent="0.35">
      <c r="A100" s="1" t="s">
        <v>105</v>
      </c>
      <c r="E100">
        <v>0.8</v>
      </c>
      <c r="F100">
        <v>3.6</v>
      </c>
    </row>
    <row r="101" spans="1:6" x14ac:dyDescent="0.35">
      <c r="A101" s="1" t="s">
        <v>106</v>
      </c>
      <c r="C101">
        <v>5.2</v>
      </c>
    </row>
    <row r="102" spans="1:6" x14ac:dyDescent="0.35">
      <c r="A102" s="1" t="s">
        <v>107</v>
      </c>
      <c r="C102">
        <v>3.2</v>
      </c>
      <c r="E102">
        <v>1.2000000000000002</v>
      </c>
    </row>
    <row r="103" spans="1:6" x14ac:dyDescent="0.35">
      <c r="A103" s="1" t="s">
        <v>108</v>
      </c>
      <c r="B103">
        <v>4.4000000000000004</v>
      </c>
      <c r="D103">
        <v>24</v>
      </c>
      <c r="E103">
        <v>1.2000000000000002</v>
      </c>
      <c r="F103">
        <v>2.8000000000000003</v>
      </c>
    </row>
    <row r="104" spans="1:6" x14ac:dyDescent="0.35">
      <c r="A104" s="1" t="s">
        <v>109</v>
      </c>
      <c r="B104">
        <v>6</v>
      </c>
      <c r="F104">
        <v>1.6</v>
      </c>
    </row>
    <row r="105" spans="1:6" x14ac:dyDescent="0.35">
      <c r="A105" s="1" t="s">
        <v>110</v>
      </c>
      <c r="D105">
        <v>40.800000000000004</v>
      </c>
    </row>
    <row r="106" spans="1:6" x14ac:dyDescent="0.35">
      <c r="A106" s="1" t="s">
        <v>111</v>
      </c>
      <c r="B106">
        <v>10</v>
      </c>
      <c r="E106">
        <v>2.8000000000000003</v>
      </c>
    </row>
    <row r="107" spans="1:6" x14ac:dyDescent="0.35">
      <c r="A107" s="1" t="s">
        <v>112</v>
      </c>
      <c r="C107">
        <v>3.6</v>
      </c>
      <c r="E107">
        <v>2</v>
      </c>
      <c r="F107">
        <v>4</v>
      </c>
    </row>
    <row r="108" spans="1:6" x14ac:dyDescent="0.35">
      <c r="A108" s="1" t="s">
        <v>113</v>
      </c>
      <c r="B108">
        <v>3.2</v>
      </c>
    </row>
    <row r="109" spans="1:6" x14ac:dyDescent="0.35">
      <c r="A109" s="1" t="s">
        <v>114</v>
      </c>
      <c r="D109">
        <v>44</v>
      </c>
      <c r="F109">
        <v>0.4</v>
      </c>
    </row>
    <row r="110" spans="1:6" x14ac:dyDescent="0.35">
      <c r="A110" s="1" t="s">
        <v>115</v>
      </c>
      <c r="E110">
        <v>2</v>
      </c>
      <c r="F110">
        <v>2.8000000000000003</v>
      </c>
    </row>
    <row r="111" spans="1:6" x14ac:dyDescent="0.35">
      <c r="A111" s="1" t="s">
        <v>116</v>
      </c>
      <c r="E111">
        <v>3.2</v>
      </c>
    </row>
    <row r="112" spans="1:6" x14ac:dyDescent="0.35">
      <c r="A112" s="1" t="s">
        <v>117</v>
      </c>
      <c r="B112">
        <v>7.2</v>
      </c>
      <c r="C112">
        <v>7.2</v>
      </c>
      <c r="F112">
        <v>2.4000000000000004</v>
      </c>
    </row>
    <row r="113" spans="1:6" x14ac:dyDescent="0.35">
      <c r="A113" s="1" t="s">
        <v>118</v>
      </c>
      <c r="F113">
        <v>2.4000000000000004</v>
      </c>
    </row>
    <row r="114" spans="1:6" x14ac:dyDescent="0.35">
      <c r="A114" s="1" t="s">
        <v>119</v>
      </c>
      <c r="B114">
        <v>12</v>
      </c>
      <c r="C114">
        <v>12</v>
      </c>
      <c r="D114">
        <v>32</v>
      </c>
    </row>
    <row r="115" spans="1:6" x14ac:dyDescent="0.35">
      <c r="A115" s="1" t="s">
        <v>120</v>
      </c>
      <c r="B115">
        <v>2.4000000000000004</v>
      </c>
      <c r="D115">
        <v>39.200000000000003</v>
      </c>
      <c r="E115">
        <v>2.4000000000000004</v>
      </c>
    </row>
    <row r="116" spans="1:6" x14ac:dyDescent="0.35">
      <c r="A116" s="1" t="s">
        <v>121</v>
      </c>
      <c r="B116">
        <v>2.8000000000000003</v>
      </c>
      <c r="C116">
        <v>11.200000000000001</v>
      </c>
      <c r="D116">
        <v>26</v>
      </c>
      <c r="E116">
        <v>2.4000000000000004</v>
      </c>
      <c r="F116">
        <v>2.4000000000000004</v>
      </c>
    </row>
    <row r="117" spans="1:6" x14ac:dyDescent="0.35">
      <c r="A117" s="1" t="s">
        <v>122</v>
      </c>
      <c r="C117">
        <v>2.4000000000000004</v>
      </c>
      <c r="D117">
        <v>41.6</v>
      </c>
      <c r="E117">
        <v>2.8000000000000003</v>
      </c>
    </row>
    <row r="118" spans="1:6" x14ac:dyDescent="0.35">
      <c r="A118" s="1" t="s">
        <v>123</v>
      </c>
      <c r="B118">
        <v>6</v>
      </c>
      <c r="F118">
        <v>1.6</v>
      </c>
    </row>
    <row r="119" spans="1:6" x14ac:dyDescent="0.35">
      <c r="A119" s="1" t="s">
        <v>124</v>
      </c>
      <c r="D119">
        <v>24.400000000000002</v>
      </c>
      <c r="E119">
        <v>0.8</v>
      </c>
    </row>
    <row r="120" spans="1:6" x14ac:dyDescent="0.35">
      <c r="A120" s="1" t="s">
        <v>125</v>
      </c>
      <c r="D120">
        <v>26.8</v>
      </c>
      <c r="E120">
        <v>3.6</v>
      </c>
    </row>
    <row r="121" spans="1:6" x14ac:dyDescent="0.35">
      <c r="A121" s="1" t="s">
        <v>126</v>
      </c>
      <c r="D121">
        <v>20</v>
      </c>
    </row>
    <row r="122" spans="1:6" x14ac:dyDescent="0.35">
      <c r="A122" s="1" t="s">
        <v>127</v>
      </c>
      <c r="C122">
        <v>12</v>
      </c>
      <c r="D122">
        <v>27.200000000000003</v>
      </c>
      <c r="E122">
        <v>0.8</v>
      </c>
      <c r="F122">
        <v>2.8000000000000003</v>
      </c>
    </row>
    <row r="123" spans="1:6" x14ac:dyDescent="0.35">
      <c r="A123" s="1" t="s">
        <v>128</v>
      </c>
      <c r="B123">
        <v>7.6000000000000005</v>
      </c>
    </row>
    <row r="124" spans="1:6" x14ac:dyDescent="0.35">
      <c r="A124" s="1" t="s">
        <v>129</v>
      </c>
      <c r="C124">
        <v>8.8000000000000007</v>
      </c>
      <c r="E124">
        <v>3.2</v>
      </c>
      <c r="F124">
        <v>1.2000000000000002</v>
      </c>
    </row>
    <row r="125" spans="1:6" x14ac:dyDescent="0.35">
      <c r="A125" s="1" t="s">
        <v>130</v>
      </c>
      <c r="B125">
        <v>4.4000000000000004</v>
      </c>
      <c r="E125">
        <v>3.2</v>
      </c>
      <c r="F125">
        <v>2.4000000000000004</v>
      </c>
    </row>
    <row r="126" spans="1:6" x14ac:dyDescent="0.35">
      <c r="A126" s="1" t="s">
        <v>131</v>
      </c>
      <c r="B126">
        <v>12.4</v>
      </c>
      <c r="C126">
        <v>12.4</v>
      </c>
      <c r="D126">
        <v>17.2</v>
      </c>
    </row>
    <row r="127" spans="1:6" x14ac:dyDescent="0.35">
      <c r="A127" s="1" t="s">
        <v>132</v>
      </c>
      <c r="B127">
        <v>3.6</v>
      </c>
      <c r="C127">
        <v>3.6</v>
      </c>
      <c r="D127">
        <v>19.200000000000003</v>
      </c>
      <c r="F127">
        <v>2</v>
      </c>
    </row>
    <row r="128" spans="1:6" x14ac:dyDescent="0.35">
      <c r="A128" s="1" t="s">
        <v>133</v>
      </c>
      <c r="B128">
        <v>8</v>
      </c>
    </row>
    <row r="129" spans="1:6" x14ac:dyDescent="0.35">
      <c r="A129" s="1" t="s">
        <v>134</v>
      </c>
      <c r="E129">
        <v>1.2000000000000002</v>
      </c>
      <c r="F129">
        <v>4</v>
      </c>
    </row>
    <row r="130" spans="1:6" x14ac:dyDescent="0.35">
      <c r="A130" s="1" t="s">
        <v>135</v>
      </c>
      <c r="C130">
        <v>12.4</v>
      </c>
      <c r="D130">
        <v>44.400000000000006</v>
      </c>
      <c r="F130">
        <v>4</v>
      </c>
    </row>
    <row r="131" spans="1:6" x14ac:dyDescent="0.35">
      <c r="A131" s="1" t="s">
        <v>137</v>
      </c>
      <c r="E131">
        <v>0.8</v>
      </c>
      <c r="F131">
        <v>1.2000000000000002</v>
      </c>
    </row>
    <row r="132" spans="1:6" x14ac:dyDescent="0.35">
      <c r="A132" s="1" t="s">
        <v>138</v>
      </c>
      <c r="D132">
        <v>34</v>
      </c>
    </row>
    <row r="133" spans="1:6" x14ac:dyDescent="0.35">
      <c r="A133" s="1" t="s">
        <v>139</v>
      </c>
      <c r="B133">
        <v>2.4000000000000004</v>
      </c>
      <c r="D133">
        <v>29.6</v>
      </c>
      <c r="E133">
        <v>3.6</v>
      </c>
      <c r="F133">
        <v>2.8000000000000003</v>
      </c>
    </row>
    <row r="134" spans="1:6" x14ac:dyDescent="0.35">
      <c r="A134" s="1" t="s">
        <v>140</v>
      </c>
      <c r="B134">
        <v>4.4000000000000004</v>
      </c>
    </row>
    <row r="135" spans="1:6" x14ac:dyDescent="0.35">
      <c r="A135" s="1" t="s">
        <v>141</v>
      </c>
      <c r="E135">
        <v>0.8</v>
      </c>
      <c r="F135">
        <v>2.4000000000000004</v>
      </c>
    </row>
    <row r="136" spans="1:6" x14ac:dyDescent="0.35">
      <c r="A136" s="1" t="s">
        <v>142</v>
      </c>
      <c r="B136">
        <v>3.2</v>
      </c>
      <c r="D136">
        <v>21.200000000000003</v>
      </c>
      <c r="F136">
        <v>1.2000000000000002</v>
      </c>
    </row>
    <row r="137" spans="1:6" x14ac:dyDescent="0.35">
      <c r="A137" s="1" t="s">
        <v>143</v>
      </c>
      <c r="B137">
        <v>10</v>
      </c>
      <c r="D137">
        <v>20.8</v>
      </c>
    </row>
    <row r="138" spans="1:6" x14ac:dyDescent="0.35">
      <c r="A138" s="1" t="s">
        <v>144</v>
      </c>
      <c r="D138">
        <v>42</v>
      </c>
      <c r="E138">
        <v>0.4</v>
      </c>
    </row>
    <row r="139" spans="1:6" x14ac:dyDescent="0.35">
      <c r="A139" s="1" t="s">
        <v>145</v>
      </c>
      <c r="B139">
        <v>2.4000000000000004</v>
      </c>
      <c r="D139">
        <v>36.800000000000004</v>
      </c>
      <c r="F139">
        <v>0.8</v>
      </c>
    </row>
    <row r="140" spans="1:6" x14ac:dyDescent="0.35">
      <c r="A140" s="1" t="s">
        <v>146</v>
      </c>
      <c r="B140">
        <v>2.4000000000000004</v>
      </c>
      <c r="C140">
        <v>2.4000000000000004</v>
      </c>
      <c r="D140">
        <v>41.6</v>
      </c>
      <c r="E140">
        <v>1.2000000000000002</v>
      </c>
    </row>
    <row r="141" spans="1:6" x14ac:dyDescent="0.35">
      <c r="A141" s="1" t="s">
        <v>147</v>
      </c>
      <c r="B141">
        <v>9.6000000000000014</v>
      </c>
      <c r="C141">
        <v>9.6000000000000014</v>
      </c>
      <c r="D141">
        <v>16.8</v>
      </c>
      <c r="E141">
        <v>2</v>
      </c>
    </row>
    <row r="142" spans="1:6" x14ac:dyDescent="0.35">
      <c r="A142" s="1" t="s">
        <v>148</v>
      </c>
      <c r="D142">
        <v>32.4</v>
      </c>
      <c r="F142">
        <v>1.2000000000000002</v>
      </c>
    </row>
    <row r="143" spans="1:6" x14ac:dyDescent="0.35">
      <c r="A143" s="1" t="s">
        <v>149</v>
      </c>
      <c r="B143">
        <v>6.8000000000000007</v>
      </c>
      <c r="C143">
        <v>6.8000000000000007</v>
      </c>
      <c r="F143">
        <v>2.4000000000000004</v>
      </c>
    </row>
    <row r="144" spans="1:6" x14ac:dyDescent="0.35">
      <c r="A144" s="1" t="s">
        <v>150</v>
      </c>
      <c r="B144">
        <v>13.600000000000001</v>
      </c>
      <c r="C144">
        <v>13.600000000000001</v>
      </c>
      <c r="E144">
        <v>3.6</v>
      </c>
      <c r="F144">
        <v>3.2</v>
      </c>
    </row>
    <row r="145" spans="1:6" x14ac:dyDescent="0.35">
      <c r="A145" s="1" t="s">
        <v>151</v>
      </c>
      <c r="B145">
        <v>7.6000000000000005</v>
      </c>
      <c r="C145">
        <v>8</v>
      </c>
      <c r="D145">
        <v>34.4</v>
      </c>
      <c r="E145">
        <v>3.2</v>
      </c>
      <c r="F145">
        <v>1.2000000000000002</v>
      </c>
    </row>
    <row r="146" spans="1:6" x14ac:dyDescent="0.35">
      <c r="A146" s="1" t="s">
        <v>152</v>
      </c>
      <c r="D146">
        <v>24</v>
      </c>
      <c r="E146">
        <v>2.4000000000000004</v>
      </c>
      <c r="F146">
        <v>1.2000000000000002</v>
      </c>
    </row>
    <row r="147" spans="1:6" x14ac:dyDescent="0.35">
      <c r="A147" s="1" t="s">
        <v>153</v>
      </c>
      <c r="C147">
        <v>14</v>
      </c>
      <c r="E147">
        <v>2.4000000000000004</v>
      </c>
      <c r="F147">
        <v>0.4</v>
      </c>
    </row>
    <row r="148" spans="1:6" x14ac:dyDescent="0.35">
      <c r="A148" s="1" t="s">
        <v>154</v>
      </c>
      <c r="B148">
        <v>3.6</v>
      </c>
      <c r="C148">
        <v>7.2</v>
      </c>
      <c r="D148">
        <v>36</v>
      </c>
      <c r="F148">
        <v>2.4000000000000004</v>
      </c>
    </row>
    <row r="149" spans="1:6" x14ac:dyDescent="0.35">
      <c r="A149" s="1" t="s">
        <v>155</v>
      </c>
      <c r="D149">
        <v>18.8</v>
      </c>
      <c r="E149">
        <v>2.8000000000000003</v>
      </c>
    </row>
    <row r="150" spans="1:6" x14ac:dyDescent="0.35">
      <c r="A150" s="1" t="s">
        <v>156</v>
      </c>
      <c r="C150">
        <v>2.4000000000000004</v>
      </c>
      <c r="E150">
        <v>1.6</v>
      </c>
      <c r="F150">
        <v>4</v>
      </c>
    </row>
    <row r="151" spans="1:6" x14ac:dyDescent="0.35">
      <c r="A151" s="1" t="s">
        <v>157</v>
      </c>
      <c r="F151">
        <v>0.4</v>
      </c>
    </row>
    <row r="152" spans="1:6" x14ac:dyDescent="0.35">
      <c r="A152" s="1" t="s">
        <v>158</v>
      </c>
      <c r="B152">
        <v>2</v>
      </c>
      <c r="C152">
        <v>9.2000000000000011</v>
      </c>
    </row>
    <row r="153" spans="1:6" x14ac:dyDescent="0.35">
      <c r="A153" s="1" t="s">
        <v>159</v>
      </c>
      <c r="B153">
        <v>7.6000000000000005</v>
      </c>
      <c r="D153">
        <v>35.200000000000003</v>
      </c>
    </row>
    <row r="154" spans="1:6" x14ac:dyDescent="0.35">
      <c r="A154" s="1" t="s">
        <v>161</v>
      </c>
      <c r="B154">
        <v>2.4000000000000004</v>
      </c>
      <c r="D154">
        <v>44.400000000000006</v>
      </c>
    </row>
    <row r="155" spans="1:6" x14ac:dyDescent="0.35">
      <c r="A155" s="1" t="s">
        <v>162</v>
      </c>
      <c r="C155">
        <v>8.4</v>
      </c>
      <c r="D155">
        <v>34</v>
      </c>
      <c r="E155">
        <v>2</v>
      </c>
    </row>
    <row r="156" spans="1:6" x14ac:dyDescent="0.35">
      <c r="A156" s="1" t="s">
        <v>163</v>
      </c>
      <c r="E156">
        <v>1.2000000000000002</v>
      </c>
    </row>
    <row r="157" spans="1:6" x14ac:dyDescent="0.35">
      <c r="A157" s="1" t="s">
        <v>164</v>
      </c>
      <c r="D157">
        <v>28.400000000000002</v>
      </c>
      <c r="E157">
        <v>1.2000000000000002</v>
      </c>
    </row>
    <row r="158" spans="1:6" x14ac:dyDescent="0.35">
      <c r="A158" s="1" t="s">
        <v>165</v>
      </c>
      <c r="B158">
        <v>7.2</v>
      </c>
      <c r="C158">
        <v>7.2</v>
      </c>
      <c r="E158">
        <v>0.4</v>
      </c>
    </row>
    <row r="159" spans="1:6" x14ac:dyDescent="0.35">
      <c r="A159" s="1" t="s">
        <v>166</v>
      </c>
      <c r="C159">
        <v>5.6000000000000005</v>
      </c>
      <c r="D159">
        <v>32</v>
      </c>
      <c r="E159">
        <v>3.2</v>
      </c>
      <c r="F159">
        <v>0.4</v>
      </c>
    </row>
    <row r="160" spans="1:6" x14ac:dyDescent="0.35">
      <c r="A160" s="1" t="s">
        <v>167</v>
      </c>
      <c r="B160">
        <v>12.8</v>
      </c>
      <c r="C160">
        <v>12.8</v>
      </c>
      <c r="D160">
        <v>47.6</v>
      </c>
      <c r="E160">
        <v>3.6</v>
      </c>
      <c r="F160">
        <v>2.4000000000000004</v>
      </c>
    </row>
    <row r="161" spans="1:6" x14ac:dyDescent="0.35">
      <c r="A161" s="1" t="s">
        <v>168</v>
      </c>
      <c r="F161">
        <v>2.4000000000000004</v>
      </c>
    </row>
    <row r="162" spans="1:6" x14ac:dyDescent="0.35">
      <c r="A162" s="1" t="s">
        <v>169</v>
      </c>
      <c r="B162">
        <v>9.6000000000000014</v>
      </c>
      <c r="D162">
        <v>41.6</v>
      </c>
    </row>
    <row r="163" spans="1:6" x14ac:dyDescent="0.35">
      <c r="A163" s="1" t="s">
        <v>170</v>
      </c>
      <c r="B163">
        <v>2</v>
      </c>
      <c r="C163">
        <v>2</v>
      </c>
      <c r="D163">
        <v>40.400000000000006</v>
      </c>
      <c r="E163">
        <v>0.4</v>
      </c>
    </row>
    <row r="164" spans="1:6" x14ac:dyDescent="0.35">
      <c r="A164" s="1" t="s">
        <v>171</v>
      </c>
      <c r="B164">
        <v>8.8000000000000007</v>
      </c>
      <c r="E164">
        <v>1.2000000000000002</v>
      </c>
      <c r="F164">
        <v>0.8</v>
      </c>
    </row>
    <row r="165" spans="1:6" x14ac:dyDescent="0.35">
      <c r="A165" s="1" t="s">
        <v>172</v>
      </c>
      <c r="B165">
        <v>7.6000000000000005</v>
      </c>
      <c r="C165">
        <v>7.6000000000000005</v>
      </c>
      <c r="D165">
        <v>46.800000000000004</v>
      </c>
      <c r="E165">
        <v>1.2000000000000002</v>
      </c>
    </row>
    <row r="166" spans="1:6" x14ac:dyDescent="0.35">
      <c r="A166" s="1" t="s">
        <v>173</v>
      </c>
      <c r="C166">
        <v>6</v>
      </c>
      <c r="F166">
        <v>0.8</v>
      </c>
    </row>
    <row r="167" spans="1:6" x14ac:dyDescent="0.35">
      <c r="A167" s="1" t="s">
        <v>175</v>
      </c>
      <c r="F167">
        <v>2.4000000000000004</v>
      </c>
    </row>
    <row r="168" spans="1:6" x14ac:dyDescent="0.35">
      <c r="A168" s="1" t="s">
        <v>176</v>
      </c>
      <c r="B168">
        <v>6</v>
      </c>
      <c r="C168">
        <v>10</v>
      </c>
      <c r="E168">
        <v>1.6</v>
      </c>
    </row>
    <row r="169" spans="1:6" x14ac:dyDescent="0.35">
      <c r="A169" s="1" t="s">
        <v>177</v>
      </c>
      <c r="B169">
        <v>9.6000000000000014</v>
      </c>
      <c r="E169">
        <v>3.2</v>
      </c>
    </row>
    <row r="170" spans="1:6" x14ac:dyDescent="0.35">
      <c r="A170" s="1" t="s">
        <v>178</v>
      </c>
      <c r="B170">
        <v>6</v>
      </c>
      <c r="C170">
        <v>8</v>
      </c>
      <c r="E170">
        <v>3.6</v>
      </c>
    </row>
    <row r="171" spans="1:6" x14ac:dyDescent="0.35">
      <c r="A171" s="1" t="s">
        <v>179</v>
      </c>
      <c r="D171">
        <v>16.400000000000002</v>
      </c>
      <c r="F171">
        <v>0.4</v>
      </c>
    </row>
    <row r="172" spans="1:6" x14ac:dyDescent="0.35">
      <c r="A172" s="1" t="s">
        <v>180</v>
      </c>
      <c r="D172">
        <v>38.400000000000006</v>
      </c>
      <c r="E172">
        <v>0.8</v>
      </c>
    </row>
    <row r="173" spans="1:6" x14ac:dyDescent="0.35">
      <c r="A173" s="1" t="s">
        <v>181</v>
      </c>
      <c r="B173">
        <v>9.6000000000000014</v>
      </c>
      <c r="D173">
        <v>40.400000000000006</v>
      </c>
      <c r="E173">
        <v>2.4000000000000004</v>
      </c>
      <c r="F173">
        <v>0.8</v>
      </c>
    </row>
    <row r="174" spans="1:6" x14ac:dyDescent="0.35">
      <c r="A174" s="1" t="s">
        <v>182</v>
      </c>
      <c r="B174">
        <v>7.2</v>
      </c>
      <c r="C174">
        <v>7.2</v>
      </c>
      <c r="D174">
        <v>40.800000000000004</v>
      </c>
      <c r="E174">
        <v>0.8</v>
      </c>
    </row>
    <row r="175" spans="1:6" x14ac:dyDescent="0.35">
      <c r="A175" s="1" t="s">
        <v>183</v>
      </c>
      <c r="C175">
        <v>12.8</v>
      </c>
      <c r="D175">
        <v>34.4</v>
      </c>
      <c r="F175">
        <v>3.6</v>
      </c>
    </row>
    <row r="176" spans="1:6" x14ac:dyDescent="0.35">
      <c r="A176" s="1" t="s">
        <v>184</v>
      </c>
      <c r="E176">
        <v>2.4000000000000004</v>
      </c>
    </row>
    <row r="177" spans="1:6" x14ac:dyDescent="0.35">
      <c r="A177" s="1" t="s">
        <v>185</v>
      </c>
      <c r="E177">
        <v>3.6</v>
      </c>
      <c r="F177">
        <v>3.2</v>
      </c>
    </row>
    <row r="178" spans="1:6" x14ac:dyDescent="0.35">
      <c r="A178" s="1" t="s">
        <v>186</v>
      </c>
      <c r="B178">
        <v>5.6000000000000005</v>
      </c>
      <c r="C178">
        <v>5.6000000000000005</v>
      </c>
      <c r="D178">
        <v>30.400000000000002</v>
      </c>
      <c r="F178">
        <v>2.8000000000000003</v>
      </c>
    </row>
    <row r="179" spans="1:6" x14ac:dyDescent="0.35">
      <c r="A179" s="1" t="s">
        <v>187</v>
      </c>
      <c r="C179">
        <v>5.6000000000000005</v>
      </c>
      <c r="D179">
        <v>21.200000000000003</v>
      </c>
      <c r="E179">
        <v>2.4000000000000004</v>
      </c>
      <c r="F179">
        <v>0.8</v>
      </c>
    </row>
    <row r="180" spans="1:6" x14ac:dyDescent="0.35">
      <c r="A180" s="1" t="s">
        <v>188</v>
      </c>
      <c r="B180">
        <v>2.8000000000000003</v>
      </c>
      <c r="E180">
        <v>3.6</v>
      </c>
    </row>
    <row r="181" spans="1:6" x14ac:dyDescent="0.35">
      <c r="A181" s="1" t="s">
        <v>189</v>
      </c>
      <c r="B181">
        <v>13.600000000000001</v>
      </c>
      <c r="C181">
        <v>13.600000000000001</v>
      </c>
      <c r="D181">
        <v>40</v>
      </c>
      <c r="F181">
        <v>2</v>
      </c>
    </row>
    <row r="182" spans="1:6" x14ac:dyDescent="0.35">
      <c r="A182" s="1" t="s">
        <v>190</v>
      </c>
      <c r="D182">
        <v>38.400000000000006</v>
      </c>
      <c r="E182">
        <v>2.8000000000000003</v>
      </c>
    </row>
    <row r="183" spans="1:6" x14ac:dyDescent="0.35">
      <c r="A183" s="1" t="s">
        <v>191</v>
      </c>
      <c r="B183">
        <v>3.6</v>
      </c>
      <c r="C183">
        <v>3.6</v>
      </c>
      <c r="F183">
        <v>3.2</v>
      </c>
    </row>
    <row r="184" spans="1:6" x14ac:dyDescent="0.35">
      <c r="A184" s="1" t="s">
        <v>192</v>
      </c>
      <c r="D184">
        <v>26</v>
      </c>
    </row>
    <row r="185" spans="1:6" x14ac:dyDescent="0.35">
      <c r="A185" s="1" t="s">
        <v>193</v>
      </c>
      <c r="E185">
        <v>0.8</v>
      </c>
    </row>
    <row r="186" spans="1:6" x14ac:dyDescent="0.35">
      <c r="A186" s="1" t="s">
        <v>194</v>
      </c>
      <c r="B186">
        <v>9.2000000000000011</v>
      </c>
      <c r="C186">
        <v>9.2000000000000011</v>
      </c>
      <c r="D186">
        <v>45.2</v>
      </c>
      <c r="E186">
        <v>0.8</v>
      </c>
    </row>
    <row r="187" spans="1:6" x14ac:dyDescent="0.35">
      <c r="A187" s="1" t="s">
        <v>195</v>
      </c>
      <c r="D187">
        <v>16.400000000000002</v>
      </c>
      <c r="E187">
        <v>2.8000000000000003</v>
      </c>
      <c r="F187">
        <v>0.8</v>
      </c>
    </row>
    <row r="188" spans="1:6" x14ac:dyDescent="0.35">
      <c r="A188" s="1" t="s">
        <v>196</v>
      </c>
      <c r="C188">
        <v>9.6000000000000014</v>
      </c>
    </row>
    <row r="189" spans="1:6" x14ac:dyDescent="0.35">
      <c r="A189" s="1" t="s">
        <v>197</v>
      </c>
      <c r="E189">
        <v>3.6</v>
      </c>
      <c r="F189">
        <v>3.6</v>
      </c>
    </row>
    <row r="190" spans="1:6" x14ac:dyDescent="0.35">
      <c r="A190" s="1" t="s">
        <v>198</v>
      </c>
      <c r="B190">
        <v>3.2</v>
      </c>
      <c r="C190">
        <v>3.2</v>
      </c>
      <c r="D190">
        <v>44.800000000000004</v>
      </c>
    </row>
    <row r="191" spans="1:6" x14ac:dyDescent="0.35">
      <c r="A191" s="1" t="s">
        <v>199</v>
      </c>
      <c r="B191">
        <v>2.4000000000000004</v>
      </c>
      <c r="D191">
        <v>31.6</v>
      </c>
      <c r="F191">
        <v>0.4</v>
      </c>
    </row>
    <row r="192" spans="1:6" x14ac:dyDescent="0.35">
      <c r="A192" s="1" t="s">
        <v>200</v>
      </c>
      <c r="B192">
        <v>2</v>
      </c>
      <c r="C192">
        <v>2</v>
      </c>
      <c r="D192">
        <v>34.4</v>
      </c>
    </row>
    <row r="193" spans="1:6" x14ac:dyDescent="0.35">
      <c r="A193" s="1" t="s">
        <v>201</v>
      </c>
      <c r="B193">
        <v>4</v>
      </c>
      <c r="D193">
        <v>24.8</v>
      </c>
    </row>
    <row r="194" spans="1:6" x14ac:dyDescent="0.35">
      <c r="A194" s="1" t="s">
        <v>202</v>
      </c>
      <c r="D194">
        <v>23.6</v>
      </c>
      <c r="E194">
        <v>0.4</v>
      </c>
      <c r="F194">
        <v>2.8000000000000003</v>
      </c>
    </row>
    <row r="195" spans="1:6" x14ac:dyDescent="0.35">
      <c r="A195" s="1" t="s">
        <v>203</v>
      </c>
      <c r="C195">
        <v>14</v>
      </c>
      <c r="D195">
        <v>40</v>
      </c>
      <c r="F195">
        <v>1.6</v>
      </c>
    </row>
    <row r="196" spans="1:6" x14ac:dyDescent="0.35">
      <c r="A196" s="1" t="s">
        <v>204</v>
      </c>
      <c r="B196">
        <v>6.4</v>
      </c>
      <c r="C196">
        <v>13.600000000000001</v>
      </c>
      <c r="D196">
        <v>20.400000000000002</v>
      </c>
      <c r="F196">
        <v>4</v>
      </c>
    </row>
    <row r="197" spans="1:6" x14ac:dyDescent="0.35">
      <c r="A197" s="1" t="s">
        <v>205</v>
      </c>
      <c r="E197">
        <v>0.8</v>
      </c>
    </row>
    <row r="198" spans="1:6" x14ac:dyDescent="0.35">
      <c r="A198" s="1" t="s">
        <v>206</v>
      </c>
      <c r="B198">
        <v>4.8000000000000007</v>
      </c>
      <c r="C198">
        <v>9.2000000000000011</v>
      </c>
      <c r="D198">
        <v>36</v>
      </c>
      <c r="E198">
        <v>3.6</v>
      </c>
    </row>
    <row r="199" spans="1:6" x14ac:dyDescent="0.35">
      <c r="A199" s="1" t="s">
        <v>207</v>
      </c>
      <c r="C199">
        <v>12</v>
      </c>
      <c r="D199">
        <v>25.200000000000003</v>
      </c>
      <c r="E199">
        <v>1.6</v>
      </c>
    </row>
    <row r="200" spans="1:6" x14ac:dyDescent="0.35">
      <c r="A200" s="1" t="s">
        <v>208</v>
      </c>
      <c r="C200">
        <v>9.2000000000000011</v>
      </c>
      <c r="E200">
        <v>2.4000000000000004</v>
      </c>
      <c r="F200">
        <v>2.4000000000000004</v>
      </c>
    </row>
    <row r="201" spans="1:6" x14ac:dyDescent="0.35">
      <c r="A201" s="1" t="s">
        <v>209</v>
      </c>
      <c r="B201">
        <v>2.4000000000000004</v>
      </c>
      <c r="C201">
        <v>2.4000000000000004</v>
      </c>
      <c r="D201">
        <v>32.4</v>
      </c>
      <c r="E201">
        <v>0.8</v>
      </c>
      <c r="F201">
        <v>2.8000000000000003</v>
      </c>
    </row>
    <row r="202" spans="1:6" x14ac:dyDescent="0.35">
      <c r="A202" s="1" t="s">
        <v>210</v>
      </c>
      <c r="B202">
        <v>9.2000000000000011</v>
      </c>
      <c r="D202">
        <v>37.6</v>
      </c>
      <c r="F202">
        <v>2.4000000000000004</v>
      </c>
    </row>
    <row r="203" spans="1:6" x14ac:dyDescent="0.35">
      <c r="A203" s="1" t="s">
        <v>212</v>
      </c>
      <c r="B203">
        <v>2.8000000000000003</v>
      </c>
      <c r="F203">
        <v>2.8000000000000003</v>
      </c>
    </row>
    <row r="204" spans="1:6" x14ac:dyDescent="0.35">
      <c r="A204" s="1" t="s">
        <v>213</v>
      </c>
      <c r="B204">
        <v>10.8</v>
      </c>
      <c r="C204">
        <v>10.8</v>
      </c>
      <c r="D204">
        <v>47.6</v>
      </c>
      <c r="E204">
        <v>2.8000000000000003</v>
      </c>
    </row>
    <row r="205" spans="1:6" x14ac:dyDescent="0.35">
      <c r="A205" s="1" t="s">
        <v>214</v>
      </c>
      <c r="B205">
        <v>2</v>
      </c>
      <c r="C205">
        <v>10.8</v>
      </c>
      <c r="D205">
        <v>42</v>
      </c>
      <c r="F205">
        <v>4</v>
      </c>
    </row>
    <row r="206" spans="1:6" x14ac:dyDescent="0.35">
      <c r="A206" s="1" t="s">
        <v>215</v>
      </c>
      <c r="B206">
        <v>10</v>
      </c>
      <c r="C206">
        <v>10</v>
      </c>
      <c r="F206">
        <v>3.2</v>
      </c>
    </row>
    <row r="207" spans="1:6" x14ac:dyDescent="0.35">
      <c r="A207" s="1" t="s">
        <v>216</v>
      </c>
      <c r="B207">
        <v>9.6000000000000014</v>
      </c>
    </row>
    <row r="208" spans="1:6" x14ac:dyDescent="0.35">
      <c r="A208" s="1" t="s">
        <v>217</v>
      </c>
      <c r="B208">
        <v>10</v>
      </c>
      <c r="D208">
        <v>16.8</v>
      </c>
      <c r="E208">
        <v>3.6</v>
      </c>
    </row>
    <row r="209" spans="1:6" x14ac:dyDescent="0.35">
      <c r="A209" s="1" t="s">
        <v>218</v>
      </c>
      <c r="C209">
        <v>11.200000000000001</v>
      </c>
      <c r="D209">
        <v>34.800000000000004</v>
      </c>
      <c r="F209">
        <v>1.2000000000000002</v>
      </c>
    </row>
    <row r="210" spans="1:6" x14ac:dyDescent="0.35">
      <c r="A210" s="1" t="s">
        <v>219</v>
      </c>
      <c r="B210">
        <v>7.6000000000000005</v>
      </c>
      <c r="C210">
        <v>7.6000000000000005</v>
      </c>
      <c r="E210">
        <v>3.2</v>
      </c>
    </row>
    <row r="211" spans="1:6" x14ac:dyDescent="0.35">
      <c r="A211" s="1" t="s">
        <v>220</v>
      </c>
      <c r="C211">
        <v>8</v>
      </c>
    </row>
    <row r="212" spans="1:6" x14ac:dyDescent="0.35">
      <c r="A212" s="1" t="s">
        <v>221</v>
      </c>
      <c r="C212">
        <v>13.600000000000001</v>
      </c>
      <c r="F212">
        <v>1.2000000000000002</v>
      </c>
    </row>
    <row r="213" spans="1:6" x14ac:dyDescent="0.35">
      <c r="A213" s="1" t="s">
        <v>222</v>
      </c>
      <c r="D213">
        <v>26.400000000000002</v>
      </c>
      <c r="F213">
        <v>0.4</v>
      </c>
    </row>
    <row r="214" spans="1:6" x14ac:dyDescent="0.35">
      <c r="A214" s="1" t="s">
        <v>223</v>
      </c>
      <c r="B214">
        <v>4.4000000000000004</v>
      </c>
    </row>
    <row r="215" spans="1:6" x14ac:dyDescent="0.35">
      <c r="A215" s="1" t="s">
        <v>224</v>
      </c>
      <c r="D215">
        <v>41.6</v>
      </c>
      <c r="F215">
        <v>0.4</v>
      </c>
    </row>
    <row r="216" spans="1:6" x14ac:dyDescent="0.35">
      <c r="A216" s="1" t="s">
        <v>225</v>
      </c>
      <c r="B216">
        <v>5.6000000000000005</v>
      </c>
    </row>
    <row r="217" spans="1:6" x14ac:dyDescent="0.35">
      <c r="A217" s="1" t="s">
        <v>226</v>
      </c>
      <c r="C217">
        <v>14</v>
      </c>
      <c r="D217">
        <v>37.6</v>
      </c>
      <c r="E217">
        <v>0.4</v>
      </c>
      <c r="F217">
        <v>0.8</v>
      </c>
    </row>
    <row r="218" spans="1:6" x14ac:dyDescent="0.35">
      <c r="A218" s="1" t="s">
        <v>227</v>
      </c>
      <c r="B218">
        <v>6</v>
      </c>
      <c r="C218">
        <v>6</v>
      </c>
      <c r="E218">
        <v>2.4000000000000004</v>
      </c>
    </row>
    <row r="219" spans="1:6" x14ac:dyDescent="0.35">
      <c r="A219" s="1" t="s">
        <v>228</v>
      </c>
      <c r="F219">
        <v>2.4000000000000004</v>
      </c>
    </row>
    <row r="220" spans="1:6" x14ac:dyDescent="0.35">
      <c r="A220" s="1" t="s">
        <v>229</v>
      </c>
      <c r="C220">
        <v>8.8000000000000007</v>
      </c>
      <c r="F220">
        <v>4</v>
      </c>
    </row>
    <row r="221" spans="1:6" x14ac:dyDescent="0.35">
      <c r="A221" s="1" t="s">
        <v>230</v>
      </c>
      <c r="B221">
        <v>6.4</v>
      </c>
      <c r="D221">
        <v>44.400000000000006</v>
      </c>
      <c r="E221">
        <v>2.8000000000000003</v>
      </c>
    </row>
    <row r="222" spans="1:6" x14ac:dyDescent="0.35">
      <c r="A222" s="1" t="s">
        <v>231</v>
      </c>
      <c r="B222">
        <v>5.2</v>
      </c>
      <c r="C222">
        <v>5.2</v>
      </c>
      <c r="E222">
        <v>2.4000000000000004</v>
      </c>
    </row>
    <row r="223" spans="1:6" x14ac:dyDescent="0.35">
      <c r="A223" s="1" t="s">
        <v>232</v>
      </c>
      <c r="C223">
        <v>11.200000000000001</v>
      </c>
      <c r="E223">
        <v>0.8</v>
      </c>
    </row>
    <row r="224" spans="1:6" x14ac:dyDescent="0.35">
      <c r="A224" s="1" t="s">
        <v>233</v>
      </c>
      <c r="B224">
        <v>11.200000000000001</v>
      </c>
      <c r="D224">
        <v>34</v>
      </c>
      <c r="E224">
        <v>3.2</v>
      </c>
    </row>
    <row r="225" spans="1:6" x14ac:dyDescent="0.35">
      <c r="A225" s="1" t="s">
        <v>234</v>
      </c>
      <c r="C225">
        <v>4.8000000000000007</v>
      </c>
      <c r="E225">
        <v>0.4</v>
      </c>
    </row>
    <row r="226" spans="1:6" x14ac:dyDescent="0.35">
      <c r="A226" s="1" t="s">
        <v>235</v>
      </c>
      <c r="B226">
        <v>13.600000000000001</v>
      </c>
      <c r="C226">
        <v>13.600000000000001</v>
      </c>
      <c r="D226">
        <v>22.8</v>
      </c>
      <c r="E226">
        <v>0.8</v>
      </c>
    </row>
    <row r="227" spans="1:6" x14ac:dyDescent="0.35">
      <c r="A227" s="1" t="s">
        <v>236</v>
      </c>
      <c r="B227">
        <v>11.200000000000001</v>
      </c>
    </row>
    <row r="228" spans="1:6" x14ac:dyDescent="0.35">
      <c r="A228" s="1" t="s">
        <v>237</v>
      </c>
      <c r="C228">
        <v>2.8000000000000003</v>
      </c>
      <c r="D228">
        <v>20</v>
      </c>
      <c r="E228">
        <v>3.2</v>
      </c>
      <c r="F228">
        <v>4</v>
      </c>
    </row>
    <row r="229" spans="1:6" x14ac:dyDescent="0.35">
      <c r="A229" s="1" t="s">
        <v>238</v>
      </c>
      <c r="B229">
        <v>3.2</v>
      </c>
      <c r="F229">
        <v>0.4</v>
      </c>
    </row>
    <row r="230" spans="1:6" x14ac:dyDescent="0.35">
      <c r="A230" s="1" t="s">
        <v>239</v>
      </c>
      <c r="B230">
        <v>4</v>
      </c>
      <c r="D230">
        <v>39.200000000000003</v>
      </c>
      <c r="E230">
        <v>0.8</v>
      </c>
      <c r="F230">
        <v>2.8000000000000003</v>
      </c>
    </row>
    <row r="231" spans="1:6" x14ac:dyDescent="0.35">
      <c r="A231" s="1" t="s">
        <v>240</v>
      </c>
      <c r="B231">
        <v>3.2</v>
      </c>
      <c r="C231">
        <v>3.2</v>
      </c>
      <c r="E231">
        <v>0.8</v>
      </c>
    </row>
    <row r="232" spans="1:6" x14ac:dyDescent="0.35">
      <c r="A232" s="1" t="s">
        <v>241</v>
      </c>
      <c r="F232">
        <v>2.8000000000000003</v>
      </c>
    </row>
    <row r="233" spans="1:6" x14ac:dyDescent="0.35">
      <c r="A233" s="1" t="s">
        <v>242</v>
      </c>
      <c r="D233">
        <v>21.200000000000003</v>
      </c>
      <c r="F233">
        <v>2.4000000000000004</v>
      </c>
    </row>
    <row r="234" spans="1:6" x14ac:dyDescent="0.35">
      <c r="A234" s="1" t="s">
        <v>243</v>
      </c>
      <c r="B234">
        <v>6.8000000000000007</v>
      </c>
      <c r="C234">
        <v>13.600000000000001</v>
      </c>
      <c r="D234">
        <v>38</v>
      </c>
    </row>
    <row r="235" spans="1:6" x14ac:dyDescent="0.35">
      <c r="A235" s="1" t="s">
        <v>244</v>
      </c>
      <c r="B235">
        <v>9.6000000000000014</v>
      </c>
      <c r="C235">
        <v>9.6000000000000014</v>
      </c>
      <c r="E235">
        <v>0.8</v>
      </c>
      <c r="F235">
        <v>0.4</v>
      </c>
    </row>
    <row r="236" spans="1:6" x14ac:dyDescent="0.35">
      <c r="A236" s="1" t="s">
        <v>245</v>
      </c>
      <c r="D236">
        <v>26</v>
      </c>
      <c r="F236">
        <v>2.8000000000000003</v>
      </c>
    </row>
    <row r="237" spans="1:6" x14ac:dyDescent="0.35">
      <c r="A237" s="1" t="s">
        <v>246</v>
      </c>
      <c r="C237">
        <v>12</v>
      </c>
      <c r="D237">
        <v>18</v>
      </c>
      <c r="E237">
        <v>1.2000000000000002</v>
      </c>
    </row>
    <row r="238" spans="1:6" x14ac:dyDescent="0.35">
      <c r="A238" s="1" t="s">
        <v>247</v>
      </c>
      <c r="C238">
        <v>8</v>
      </c>
      <c r="D238">
        <v>26.8</v>
      </c>
      <c r="E238">
        <v>1.6</v>
      </c>
    </row>
    <row r="239" spans="1:6" x14ac:dyDescent="0.35">
      <c r="A239" s="1" t="s">
        <v>248</v>
      </c>
      <c r="B239">
        <v>7.2</v>
      </c>
      <c r="C239">
        <v>9.6000000000000014</v>
      </c>
      <c r="D239">
        <v>24.400000000000002</v>
      </c>
      <c r="E239">
        <v>3.6</v>
      </c>
      <c r="F239">
        <v>2</v>
      </c>
    </row>
    <row r="240" spans="1:6" x14ac:dyDescent="0.35">
      <c r="A240" s="1" t="s">
        <v>249</v>
      </c>
      <c r="B240">
        <v>8</v>
      </c>
      <c r="D240">
        <v>24.8</v>
      </c>
      <c r="F240">
        <v>1.2000000000000002</v>
      </c>
    </row>
    <row r="241" spans="1:1" x14ac:dyDescent="0.35">
      <c r="A241" s="1"/>
    </row>
    <row r="242" spans="1:1" x14ac:dyDescent="0.35">
      <c r="A242" s="1"/>
    </row>
    <row r="243" spans="1:1" x14ac:dyDescent="0.35">
      <c r="A243" s="1"/>
    </row>
    <row r="244" spans="1:1" x14ac:dyDescent="0.35">
      <c r="A244" s="1"/>
    </row>
    <row r="245" spans="1:1" x14ac:dyDescent="0.35">
      <c r="A245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B585-9747-43FB-BBB3-36C752BBCEDA}">
  <dimension ref="A1:F240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/>
    </row>
    <row r="2" spans="1:6" x14ac:dyDescent="0.35">
      <c r="A2" s="1" t="s">
        <v>0</v>
      </c>
      <c r="D2">
        <v>1</v>
      </c>
    </row>
    <row r="3" spans="1:6" x14ac:dyDescent="0.35">
      <c r="A3" s="1" t="s">
        <v>1</v>
      </c>
      <c r="B3">
        <v>0.99999999999999978</v>
      </c>
      <c r="C3">
        <v>1</v>
      </c>
    </row>
    <row r="4" spans="1:6" x14ac:dyDescent="0.35">
      <c r="A4" s="1" t="s">
        <v>3</v>
      </c>
      <c r="B4">
        <v>1</v>
      </c>
      <c r="C4">
        <v>1</v>
      </c>
    </row>
    <row r="5" spans="1:6" x14ac:dyDescent="0.35">
      <c r="A5" s="1" t="s">
        <v>7</v>
      </c>
      <c r="B5">
        <v>1</v>
      </c>
      <c r="D5">
        <v>1</v>
      </c>
    </row>
    <row r="6" spans="1:6" x14ac:dyDescent="0.35">
      <c r="A6" s="1" t="s">
        <v>8</v>
      </c>
      <c r="D6">
        <v>1</v>
      </c>
    </row>
    <row r="7" spans="1:6" x14ac:dyDescent="0.35">
      <c r="A7" s="1" t="s">
        <v>9</v>
      </c>
      <c r="C7">
        <v>1</v>
      </c>
    </row>
    <row r="8" spans="1:6" x14ac:dyDescent="0.35">
      <c r="A8" s="1" t="s">
        <v>10</v>
      </c>
      <c r="C8">
        <v>1</v>
      </c>
      <c r="D8">
        <v>1</v>
      </c>
    </row>
    <row r="9" spans="1:6" x14ac:dyDescent="0.35">
      <c r="A9" s="1" t="s">
        <v>11</v>
      </c>
      <c r="B9">
        <v>1</v>
      </c>
      <c r="C9">
        <v>1</v>
      </c>
    </row>
    <row r="10" spans="1:6" x14ac:dyDescent="0.35">
      <c r="A10" s="1" t="s">
        <v>12</v>
      </c>
      <c r="B10">
        <v>1</v>
      </c>
      <c r="C10">
        <v>1</v>
      </c>
      <c r="D10">
        <v>1</v>
      </c>
    </row>
    <row r="11" spans="1:6" x14ac:dyDescent="0.35">
      <c r="A11" s="1" t="s">
        <v>13</v>
      </c>
      <c r="D11">
        <v>1</v>
      </c>
    </row>
    <row r="12" spans="1:6" x14ac:dyDescent="0.35">
      <c r="A12" s="1" t="s">
        <v>15</v>
      </c>
      <c r="D12">
        <v>1</v>
      </c>
    </row>
    <row r="13" spans="1:6" x14ac:dyDescent="0.35">
      <c r="A13" s="1" t="s">
        <v>16</v>
      </c>
      <c r="C13">
        <v>1</v>
      </c>
    </row>
    <row r="14" spans="1:6" x14ac:dyDescent="0.35">
      <c r="A14" s="1" t="s">
        <v>18</v>
      </c>
      <c r="B14">
        <v>0.99999999999999978</v>
      </c>
    </row>
    <row r="15" spans="1:6" x14ac:dyDescent="0.35">
      <c r="A15" s="1" t="s">
        <v>19</v>
      </c>
      <c r="C15">
        <v>1</v>
      </c>
      <c r="D15">
        <v>0.99999999999999978</v>
      </c>
    </row>
    <row r="16" spans="1:6" x14ac:dyDescent="0.35">
      <c r="A16" s="1" t="s">
        <v>20</v>
      </c>
      <c r="B16">
        <v>1</v>
      </c>
    </row>
    <row r="17" spans="1:5" x14ac:dyDescent="0.35">
      <c r="A17" s="1" t="s">
        <v>21</v>
      </c>
      <c r="C17">
        <v>1</v>
      </c>
      <c r="D17">
        <v>1</v>
      </c>
    </row>
    <row r="18" spans="1:5" x14ac:dyDescent="0.35">
      <c r="A18" s="1" t="s">
        <v>22</v>
      </c>
      <c r="B18">
        <v>0.99999999999999978</v>
      </c>
      <c r="C18">
        <v>1</v>
      </c>
      <c r="D18">
        <v>1</v>
      </c>
    </row>
    <row r="19" spans="1:5" x14ac:dyDescent="0.35">
      <c r="A19" s="1" t="s">
        <v>24</v>
      </c>
      <c r="B19">
        <v>1</v>
      </c>
    </row>
    <row r="20" spans="1:5" x14ac:dyDescent="0.35">
      <c r="A20" s="1" t="s">
        <v>25</v>
      </c>
      <c r="C20">
        <v>1</v>
      </c>
    </row>
    <row r="21" spans="1:5" x14ac:dyDescent="0.35">
      <c r="A21" s="1" t="s">
        <v>27</v>
      </c>
      <c r="D21">
        <v>1</v>
      </c>
    </row>
    <row r="22" spans="1:5" x14ac:dyDescent="0.35">
      <c r="A22" s="1" t="s">
        <v>28</v>
      </c>
      <c r="B22">
        <v>1</v>
      </c>
      <c r="D22">
        <v>1</v>
      </c>
    </row>
    <row r="23" spans="1:5" x14ac:dyDescent="0.35">
      <c r="A23" s="1" t="s">
        <v>30</v>
      </c>
      <c r="B23">
        <v>1</v>
      </c>
    </row>
    <row r="24" spans="1:5" x14ac:dyDescent="0.35">
      <c r="A24" s="1" t="s">
        <v>31</v>
      </c>
      <c r="C24">
        <v>1</v>
      </c>
    </row>
    <row r="25" spans="1:5" x14ac:dyDescent="0.35">
      <c r="A25" s="1" t="s">
        <v>32</v>
      </c>
      <c r="B25">
        <v>0.99999999999999978</v>
      </c>
      <c r="C25">
        <v>1</v>
      </c>
      <c r="D25">
        <v>1</v>
      </c>
    </row>
    <row r="26" spans="1:5" x14ac:dyDescent="0.35">
      <c r="A26" s="1" t="s">
        <v>33</v>
      </c>
      <c r="C26">
        <v>1</v>
      </c>
    </row>
    <row r="27" spans="1:5" x14ac:dyDescent="0.35">
      <c r="A27" s="1" t="s">
        <v>35</v>
      </c>
      <c r="D27">
        <v>1</v>
      </c>
    </row>
    <row r="28" spans="1:5" x14ac:dyDescent="0.35">
      <c r="A28" s="1" t="s">
        <v>36</v>
      </c>
      <c r="B28">
        <v>0.99999999999999978</v>
      </c>
      <c r="C28">
        <v>1</v>
      </c>
      <c r="D28">
        <v>1</v>
      </c>
    </row>
    <row r="29" spans="1:5" x14ac:dyDescent="0.35">
      <c r="A29" s="1" t="s">
        <v>37</v>
      </c>
      <c r="B29">
        <v>1</v>
      </c>
      <c r="D29">
        <v>1</v>
      </c>
    </row>
    <row r="30" spans="1:5" x14ac:dyDescent="0.35">
      <c r="A30" s="1" t="s">
        <v>38</v>
      </c>
      <c r="E30">
        <v>1</v>
      </c>
    </row>
    <row r="31" spans="1:5" x14ac:dyDescent="0.35">
      <c r="A31" s="1" t="s">
        <v>39</v>
      </c>
      <c r="C31">
        <v>1</v>
      </c>
    </row>
    <row r="32" spans="1:5" x14ac:dyDescent="0.35">
      <c r="A32" s="1" t="s">
        <v>40</v>
      </c>
      <c r="B32">
        <v>1</v>
      </c>
      <c r="C32">
        <v>1</v>
      </c>
      <c r="D32">
        <v>1</v>
      </c>
    </row>
    <row r="33" spans="1:5" x14ac:dyDescent="0.35">
      <c r="A33" s="1" t="s">
        <v>41</v>
      </c>
      <c r="B33">
        <v>1</v>
      </c>
      <c r="D33">
        <v>1</v>
      </c>
    </row>
    <row r="34" spans="1:5" x14ac:dyDescent="0.35">
      <c r="A34" s="1" t="s">
        <v>42</v>
      </c>
      <c r="D34">
        <v>1</v>
      </c>
    </row>
    <row r="35" spans="1:5" x14ac:dyDescent="0.35">
      <c r="A35" s="1" t="s">
        <v>43</v>
      </c>
      <c r="B35">
        <v>0.99999999999999978</v>
      </c>
      <c r="C35">
        <v>1</v>
      </c>
      <c r="D35">
        <v>1</v>
      </c>
    </row>
    <row r="36" spans="1:5" x14ac:dyDescent="0.35">
      <c r="A36" s="1" t="s">
        <v>44</v>
      </c>
      <c r="B36">
        <v>0.99999999999999978</v>
      </c>
      <c r="C36">
        <v>1</v>
      </c>
      <c r="D36">
        <v>1</v>
      </c>
    </row>
    <row r="37" spans="1:5" x14ac:dyDescent="0.35">
      <c r="A37" s="1" t="s">
        <v>45</v>
      </c>
      <c r="D37">
        <v>1</v>
      </c>
    </row>
    <row r="38" spans="1:5" x14ac:dyDescent="0.35">
      <c r="A38" s="1" t="s">
        <v>46</v>
      </c>
      <c r="B38">
        <v>0.99999999999999978</v>
      </c>
      <c r="D38">
        <v>1</v>
      </c>
    </row>
    <row r="39" spans="1:5" x14ac:dyDescent="0.35">
      <c r="A39" s="1" t="s">
        <v>48</v>
      </c>
      <c r="C39">
        <v>1</v>
      </c>
      <c r="D39">
        <v>1</v>
      </c>
    </row>
    <row r="40" spans="1:5" x14ac:dyDescent="0.35">
      <c r="A40" s="1" t="s">
        <v>49</v>
      </c>
      <c r="B40">
        <v>1</v>
      </c>
      <c r="D40">
        <v>1</v>
      </c>
    </row>
    <row r="41" spans="1:5" x14ac:dyDescent="0.35">
      <c r="A41" s="1" t="s">
        <v>50</v>
      </c>
      <c r="D41">
        <v>1</v>
      </c>
    </row>
    <row r="42" spans="1:5" x14ac:dyDescent="0.35">
      <c r="A42" s="1" t="s">
        <v>51</v>
      </c>
      <c r="D42">
        <v>1</v>
      </c>
      <c r="E42">
        <v>1</v>
      </c>
    </row>
    <row r="43" spans="1:5" x14ac:dyDescent="0.35">
      <c r="A43" s="1" t="s">
        <v>52</v>
      </c>
      <c r="C43">
        <v>1</v>
      </c>
      <c r="D43">
        <v>0.99999999999999967</v>
      </c>
    </row>
    <row r="44" spans="1:5" x14ac:dyDescent="0.35">
      <c r="A44" s="1" t="s">
        <v>53</v>
      </c>
      <c r="B44">
        <v>0.99999999999999989</v>
      </c>
      <c r="C44">
        <v>1</v>
      </c>
    </row>
    <row r="45" spans="1:5" x14ac:dyDescent="0.35">
      <c r="A45" s="1" t="s">
        <v>54</v>
      </c>
      <c r="B45">
        <v>0.99999999999999978</v>
      </c>
      <c r="D45">
        <v>1</v>
      </c>
    </row>
    <row r="46" spans="1:5" x14ac:dyDescent="0.35">
      <c r="A46" s="1" t="s">
        <v>55</v>
      </c>
      <c r="C46">
        <v>1</v>
      </c>
    </row>
    <row r="47" spans="1:5" x14ac:dyDescent="0.35">
      <c r="A47" s="1" t="s">
        <v>56</v>
      </c>
      <c r="B47">
        <v>1</v>
      </c>
      <c r="C47">
        <v>1</v>
      </c>
      <c r="D47">
        <v>1</v>
      </c>
    </row>
    <row r="48" spans="1:5" x14ac:dyDescent="0.35">
      <c r="A48" s="1" t="s">
        <v>57</v>
      </c>
      <c r="B48">
        <v>1</v>
      </c>
      <c r="C48">
        <v>1</v>
      </c>
    </row>
    <row r="49" spans="1:4" x14ac:dyDescent="0.35">
      <c r="A49" s="1" t="s">
        <v>58</v>
      </c>
      <c r="B49">
        <v>1</v>
      </c>
      <c r="D49">
        <v>1</v>
      </c>
    </row>
    <row r="50" spans="1:4" x14ac:dyDescent="0.35">
      <c r="A50" s="1" t="s">
        <v>59</v>
      </c>
      <c r="C50">
        <v>1</v>
      </c>
      <c r="D50">
        <v>1</v>
      </c>
    </row>
    <row r="51" spans="1:4" x14ac:dyDescent="0.35">
      <c r="A51" s="1" t="s">
        <v>60</v>
      </c>
      <c r="C51">
        <v>1</v>
      </c>
      <c r="D51">
        <v>1</v>
      </c>
    </row>
    <row r="52" spans="1:4" x14ac:dyDescent="0.35">
      <c r="A52" s="1" t="s">
        <v>61</v>
      </c>
      <c r="C52">
        <v>1</v>
      </c>
    </row>
    <row r="53" spans="1:4" x14ac:dyDescent="0.35">
      <c r="A53" s="1" t="s">
        <v>62</v>
      </c>
      <c r="C53">
        <v>1</v>
      </c>
      <c r="D53">
        <v>0.99999999999999978</v>
      </c>
    </row>
    <row r="54" spans="1:4" x14ac:dyDescent="0.35">
      <c r="A54" s="1" t="s">
        <v>63</v>
      </c>
      <c r="C54">
        <v>1</v>
      </c>
      <c r="D54">
        <v>1</v>
      </c>
    </row>
    <row r="55" spans="1:4" x14ac:dyDescent="0.35">
      <c r="A55" s="1" t="s">
        <v>64</v>
      </c>
      <c r="C55">
        <v>1</v>
      </c>
      <c r="D55">
        <v>1</v>
      </c>
    </row>
    <row r="56" spans="1:4" x14ac:dyDescent="0.35">
      <c r="A56" s="1" t="s">
        <v>65</v>
      </c>
      <c r="C56">
        <v>1</v>
      </c>
    </row>
    <row r="57" spans="1:4" x14ac:dyDescent="0.35">
      <c r="A57" s="1" t="s">
        <v>66</v>
      </c>
      <c r="D57">
        <v>1</v>
      </c>
    </row>
    <row r="58" spans="1:4" x14ac:dyDescent="0.35">
      <c r="A58" s="1" t="s">
        <v>67</v>
      </c>
      <c r="C58">
        <v>1</v>
      </c>
      <c r="D58">
        <v>1</v>
      </c>
    </row>
    <row r="59" spans="1:4" x14ac:dyDescent="0.35">
      <c r="A59" s="1" t="s">
        <v>68</v>
      </c>
      <c r="B59">
        <v>1</v>
      </c>
      <c r="C59">
        <v>1</v>
      </c>
      <c r="D59">
        <v>1</v>
      </c>
    </row>
    <row r="60" spans="1:4" x14ac:dyDescent="0.35">
      <c r="A60" s="1" t="s">
        <v>69</v>
      </c>
      <c r="B60">
        <v>0.99999999999999989</v>
      </c>
    </row>
    <row r="61" spans="1:4" x14ac:dyDescent="0.35">
      <c r="A61" s="1" t="s">
        <v>71</v>
      </c>
      <c r="C61">
        <v>1</v>
      </c>
      <c r="D61">
        <v>1</v>
      </c>
    </row>
    <row r="62" spans="1:4" x14ac:dyDescent="0.35">
      <c r="A62" s="1" t="s">
        <v>72</v>
      </c>
      <c r="B62">
        <v>0.99999999999999978</v>
      </c>
      <c r="C62">
        <v>1</v>
      </c>
      <c r="D62">
        <v>1</v>
      </c>
    </row>
    <row r="63" spans="1:4" x14ac:dyDescent="0.35">
      <c r="A63" s="1" t="s">
        <v>73</v>
      </c>
      <c r="C63">
        <v>1</v>
      </c>
      <c r="D63">
        <v>1</v>
      </c>
    </row>
    <row r="64" spans="1:4" x14ac:dyDescent="0.35">
      <c r="A64" s="1" t="s">
        <v>74</v>
      </c>
      <c r="B64">
        <v>1</v>
      </c>
      <c r="C64">
        <v>1</v>
      </c>
    </row>
    <row r="65" spans="1:5" x14ac:dyDescent="0.35">
      <c r="A65" s="1" t="s">
        <v>75</v>
      </c>
      <c r="B65">
        <v>1</v>
      </c>
      <c r="C65">
        <v>1</v>
      </c>
      <c r="D65">
        <v>1</v>
      </c>
    </row>
    <row r="66" spans="1:5" x14ac:dyDescent="0.35">
      <c r="A66" s="1" t="s">
        <v>76</v>
      </c>
      <c r="C66">
        <v>1</v>
      </c>
    </row>
    <row r="67" spans="1:5" x14ac:dyDescent="0.35">
      <c r="A67" s="1" t="s">
        <v>77</v>
      </c>
      <c r="C67">
        <v>1</v>
      </c>
      <c r="D67">
        <v>1</v>
      </c>
    </row>
    <row r="68" spans="1:5" x14ac:dyDescent="0.35">
      <c r="A68" s="1" t="s">
        <v>79</v>
      </c>
      <c r="B68">
        <v>1</v>
      </c>
      <c r="C68">
        <v>1</v>
      </c>
      <c r="D68">
        <v>1</v>
      </c>
    </row>
    <row r="69" spans="1:5" x14ac:dyDescent="0.35">
      <c r="A69" s="1" t="s">
        <v>81</v>
      </c>
      <c r="B69">
        <v>1</v>
      </c>
      <c r="C69">
        <v>1</v>
      </c>
    </row>
    <row r="70" spans="1:5" x14ac:dyDescent="0.35">
      <c r="A70" s="1" t="s">
        <v>83</v>
      </c>
      <c r="C70">
        <v>1</v>
      </c>
      <c r="D70">
        <v>1</v>
      </c>
    </row>
    <row r="71" spans="1:5" x14ac:dyDescent="0.35">
      <c r="A71" s="1" t="s">
        <v>84</v>
      </c>
      <c r="B71">
        <v>0.99999999999999989</v>
      </c>
      <c r="C71">
        <v>1</v>
      </c>
    </row>
    <row r="72" spans="1:5" x14ac:dyDescent="0.35">
      <c r="A72" s="1" t="s">
        <v>85</v>
      </c>
      <c r="B72">
        <v>0.99999999999999989</v>
      </c>
      <c r="C72">
        <v>1</v>
      </c>
      <c r="D72">
        <v>1</v>
      </c>
    </row>
    <row r="73" spans="1:5" x14ac:dyDescent="0.35">
      <c r="A73" s="1" t="s">
        <v>86</v>
      </c>
      <c r="C73">
        <v>1</v>
      </c>
    </row>
    <row r="74" spans="1:5" x14ac:dyDescent="0.35">
      <c r="A74" s="1" t="s">
        <v>87</v>
      </c>
      <c r="C74">
        <v>1</v>
      </c>
      <c r="D74">
        <v>1</v>
      </c>
    </row>
    <row r="75" spans="1:5" x14ac:dyDescent="0.35">
      <c r="A75" s="1" t="s">
        <v>89</v>
      </c>
      <c r="D75">
        <v>0.99999999999999978</v>
      </c>
    </row>
    <row r="76" spans="1:5" x14ac:dyDescent="0.35">
      <c r="A76" s="1" t="s">
        <v>90</v>
      </c>
      <c r="B76">
        <v>1</v>
      </c>
      <c r="C76">
        <v>1</v>
      </c>
    </row>
    <row r="77" spans="1:5" x14ac:dyDescent="0.35">
      <c r="A77" s="1" t="s">
        <v>91</v>
      </c>
      <c r="C77">
        <v>1</v>
      </c>
      <c r="E77">
        <v>1</v>
      </c>
    </row>
    <row r="78" spans="1:5" x14ac:dyDescent="0.35">
      <c r="A78" s="1" t="s">
        <v>92</v>
      </c>
      <c r="B78">
        <v>0.99999999999999978</v>
      </c>
    </row>
    <row r="79" spans="1:5" x14ac:dyDescent="0.35">
      <c r="A79" s="1" t="s">
        <v>93</v>
      </c>
      <c r="B79">
        <v>1</v>
      </c>
      <c r="C79">
        <v>1</v>
      </c>
      <c r="D79">
        <v>1</v>
      </c>
    </row>
    <row r="80" spans="1:5" x14ac:dyDescent="0.35">
      <c r="A80" s="1" t="s">
        <v>94</v>
      </c>
      <c r="B80">
        <v>0.99999999999999978</v>
      </c>
      <c r="C80">
        <v>1</v>
      </c>
    </row>
    <row r="81" spans="1:4" x14ac:dyDescent="0.35">
      <c r="A81" s="1" t="s">
        <v>95</v>
      </c>
      <c r="D81">
        <v>1</v>
      </c>
    </row>
    <row r="82" spans="1:4" x14ac:dyDescent="0.35">
      <c r="A82" s="1" t="s">
        <v>96</v>
      </c>
      <c r="C82">
        <v>1</v>
      </c>
      <c r="D82">
        <v>1</v>
      </c>
    </row>
    <row r="83" spans="1:4" x14ac:dyDescent="0.35">
      <c r="A83" s="1" t="s">
        <v>97</v>
      </c>
      <c r="C83">
        <v>1</v>
      </c>
    </row>
    <row r="84" spans="1:4" x14ac:dyDescent="0.35">
      <c r="A84" s="1" t="s">
        <v>98</v>
      </c>
      <c r="C84">
        <v>1</v>
      </c>
      <c r="D84">
        <v>1</v>
      </c>
    </row>
    <row r="85" spans="1:4" x14ac:dyDescent="0.35">
      <c r="A85" s="1" t="s">
        <v>99</v>
      </c>
      <c r="B85">
        <v>1</v>
      </c>
    </row>
    <row r="86" spans="1:4" x14ac:dyDescent="0.35">
      <c r="A86" s="1" t="s">
        <v>100</v>
      </c>
      <c r="C86">
        <v>1</v>
      </c>
      <c r="D86">
        <v>0.99999999999999978</v>
      </c>
    </row>
    <row r="87" spans="1:4" x14ac:dyDescent="0.35">
      <c r="A87" s="1" t="s">
        <v>101</v>
      </c>
      <c r="B87">
        <v>1</v>
      </c>
    </row>
    <row r="88" spans="1:4" x14ac:dyDescent="0.35">
      <c r="A88" s="1" t="s">
        <v>102</v>
      </c>
      <c r="B88">
        <v>1</v>
      </c>
    </row>
    <row r="89" spans="1:4" x14ac:dyDescent="0.35">
      <c r="A89" s="1" t="s">
        <v>103</v>
      </c>
      <c r="C89">
        <v>1</v>
      </c>
      <c r="D89">
        <v>1</v>
      </c>
    </row>
    <row r="90" spans="1:4" x14ac:dyDescent="0.35">
      <c r="A90" s="1" t="s">
        <v>104</v>
      </c>
      <c r="B90">
        <v>0.99999999999999978</v>
      </c>
      <c r="D90">
        <v>1</v>
      </c>
    </row>
    <row r="91" spans="1:4" x14ac:dyDescent="0.35">
      <c r="A91" s="1" t="s">
        <v>105</v>
      </c>
      <c r="D91">
        <v>1</v>
      </c>
    </row>
    <row r="92" spans="1:4" x14ac:dyDescent="0.35">
      <c r="A92" s="1" t="s">
        <v>106</v>
      </c>
      <c r="D92">
        <v>0.99999999999999978</v>
      </c>
    </row>
    <row r="93" spans="1:4" x14ac:dyDescent="0.35">
      <c r="A93" s="1" t="s">
        <v>107</v>
      </c>
      <c r="D93">
        <v>1</v>
      </c>
    </row>
    <row r="94" spans="1:4" x14ac:dyDescent="0.35">
      <c r="A94" s="1" t="s">
        <v>108</v>
      </c>
      <c r="B94">
        <v>1</v>
      </c>
      <c r="C94">
        <v>1</v>
      </c>
      <c r="D94">
        <v>1</v>
      </c>
    </row>
    <row r="95" spans="1:4" x14ac:dyDescent="0.35">
      <c r="A95" s="1" t="s">
        <v>109</v>
      </c>
      <c r="C95">
        <v>1</v>
      </c>
    </row>
    <row r="96" spans="1:4" x14ac:dyDescent="0.35">
      <c r="A96" s="1" t="s">
        <v>110</v>
      </c>
      <c r="C96">
        <v>1</v>
      </c>
    </row>
    <row r="97" spans="1:5" x14ac:dyDescent="0.35">
      <c r="A97" s="1" t="s">
        <v>112</v>
      </c>
      <c r="B97">
        <v>1</v>
      </c>
      <c r="C97">
        <v>1</v>
      </c>
    </row>
    <row r="98" spans="1:5" x14ac:dyDescent="0.35">
      <c r="A98" s="1" t="s">
        <v>113</v>
      </c>
      <c r="D98">
        <v>1</v>
      </c>
    </row>
    <row r="99" spans="1:5" x14ac:dyDescent="0.35">
      <c r="A99" s="1" t="s">
        <v>114</v>
      </c>
      <c r="C99">
        <v>1</v>
      </c>
    </row>
    <row r="100" spans="1:5" x14ac:dyDescent="0.35">
      <c r="A100" s="1" t="s">
        <v>115</v>
      </c>
      <c r="C100">
        <v>1</v>
      </c>
      <c r="D100">
        <v>0.99999999999999978</v>
      </c>
    </row>
    <row r="101" spans="1:5" x14ac:dyDescent="0.35">
      <c r="A101" s="1" t="s">
        <v>116</v>
      </c>
      <c r="B101">
        <v>0.99999999999999989</v>
      </c>
    </row>
    <row r="102" spans="1:5" x14ac:dyDescent="0.35">
      <c r="A102" s="1" t="s">
        <v>117</v>
      </c>
      <c r="B102">
        <v>1</v>
      </c>
      <c r="E102">
        <v>1</v>
      </c>
    </row>
    <row r="103" spans="1:5" x14ac:dyDescent="0.35">
      <c r="A103" s="1" t="s">
        <v>118</v>
      </c>
      <c r="B103">
        <v>0.99999999999999978</v>
      </c>
    </row>
    <row r="104" spans="1:5" x14ac:dyDescent="0.35">
      <c r="A104" s="1" t="s">
        <v>119</v>
      </c>
      <c r="B104">
        <v>1</v>
      </c>
      <c r="C104">
        <v>1</v>
      </c>
    </row>
    <row r="105" spans="1:5" x14ac:dyDescent="0.35">
      <c r="A105" s="1" t="s">
        <v>120</v>
      </c>
      <c r="C105">
        <v>1</v>
      </c>
    </row>
    <row r="106" spans="1:5" x14ac:dyDescent="0.35">
      <c r="A106" s="1" t="s">
        <v>122</v>
      </c>
      <c r="C106">
        <v>1</v>
      </c>
    </row>
    <row r="107" spans="1:5" x14ac:dyDescent="0.35">
      <c r="A107" s="1" t="s">
        <v>123</v>
      </c>
      <c r="C107">
        <v>1</v>
      </c>
    </row>
    <row r="108" spans="1:5" x14ac:dyDescent="0.35">
      <c r="A108" s="1" t="s">
        <v>124</v>
      </c>
      <c r="C108">
        <v>1</v>
      </c>
      <c r="D108">
        <v>1</v>
      </c>
    </row>
    <row r="109" spans="1:5" x14ac:dyDescent="0.35">
      <c r="A109" s="1" t="s">
        <v>125</v>
      </c>
      <c r="C109">
        <v>1</v>
      </c>
      <c r="D109">
        <v>1</v>
      </c>
    </row>
    <row r="110" spans="1:5" x14ac:dyDescent="0.35">
      <c r="A110" s="1" t="s">
        <v>126</v>
      </c>
      <c r="C110">
        <v>1</v>
      </c>
      <c r="D110">
        <v>1</v>
      </c>
    </row>
    <row r="111" spans="1:5" x14ac:dyDescent="0.35">
      <c r="A111" s="1" t="s">
        <v>127</v>
      </c>
      <c r="D111">
        <v>1</v>
      </c>
    </row>
    <row r="112" spans="1:5" x14ac:dyDescent="0.35">
      <c r="A112" s="1" t="s">
        <v>128</v>
      </c>
      <c r="C112">
        <v>1</v>
      </c>
    </row>
    <row r="113" spans="1:4" x14ac:dyDescent="0.35">
      <c r="A113" s="1" t="s">
        <v>130</v>
      </c>
      <c r="B113">
        <v>1</v>
      </c>
      <c r="D113">
        <v>1</v>
      </c>
    </row>
    <row r="114" spans="1:4" x14ac:dyDescent="0.35">
      <c r="A114" s="1" t="s">
        <v>131</v>
      </c>
      <c r="B114">
        <v>1</v>
      </c>
      <c r="C114">
        <v>1</v>
      </c>
    </row>
    <row r="115" spans="1:4" x14ac:dyDescent="0.35">
      <c r="A115" s="1" t="s">
        <v>132</v>
      </c>
      <c r="B115">
        <v>1</v>
      </c>
      <c r="C115">
        <v>1</v>
      </c>
    </row>
    <row r="116" spans="1:4" x14ac:dyDescent="0.35">
      <c r="A116" s="1" t="s">
        <v>133</v>
      </c>
      <c r="B116">
        <v>1</v>
      </c>
      <c r="C116">
        <v>1</v>
      </c>
      <c r="D116">
        <v>1</v>
      </c>
    </row>
    <row r="117" spans="1:4" x14ac:dyDescent="0.35">
      <c r="A117" s="1" t="s">
        <v>134</v>
      </c>
      <c r="D117">
        <v>1</v>
      </c>
    </row>
    <row r="118" spans="1:4" x14ac:dyDescent="0.35">
      <c r="A118" s="1" t="s">
        <v>135</v>
      </c>
      <c r="B118">
        <v>1</v>
      </c>
      <c r="D118">
        <v>1</v>
      </c>
    </row>
    <row r="119" spans="1:4" x14ac:dyDescent="0.35">
      <c r="A119" s="1" t="s">
        <v>136</v>
      </c>
      <c r="B119">
        <v>0.99999999999999978</v>
      </c>
      <c r="D119">
        <v>1</v>
      </c>
    </row>
    <row r="120" spans="1:4" x14ac:dyDescent="0.35">
      <c r="A120" s="1" t="s">
        <v>137</v>
      </c>
      <c r="C120">
        <v>1</v>
      </c>
      <c r="D120">
        <v>1</v>
      </c>
    </row>
    <row r="121" spans="1:4" x14ac:dyDescent="0.35">
      <c r="A121" s="1" t="s">
        <v>139</v>
      </c>
      <c r="C121">
        <v>1</v>
      </c>
    </row>
    <row r="122" spans="1:4" x14ac:dyDescent="0.35">
      <c r="A122" s="1" t="s">
        <v>140</v>
      </c>
      <c r="C122">
        <v>1</v>
      </c>
      <c r="D122">
        <v>1</v>
      </c>
    </row>
    <row r="123" spans="1:4" x14ac:dyDescent="0.35">
      <c r="A123" s="1" t="s">
        <v>141</v>
      </c>
      <c r="B123">
        <v>0.99999999999999978</v>
      </c>
      <c r="C123">
        <v>1</v>
      </c>
    </row>
    <row r="124" spans="1:4" x14ac:dyDescent="0.35">
      <c r="A124" s="1" t="s">
        <v>142</v>
      </c>
      <c r="C124">
        <v>1</v>
      </c>
    </row>
    <row r="125" spans="1:4" x14ac:dyDescent="0.35">
      <c r="A125" s="1" t="s">
        <v>143</v>
      </c>
      <c r="D125">
        <v>1</v>
      </c>
    </row>
    <row r="126" spans="1:4" x14ac:dyDescent="0.35">
      <c r="A126" s="1" t="s">
        <v>144</v>
      </c>
      <c r="D126">
        <v>1</v>
      </c>
    </row>
    <row r="127" spans="1:4" x14ac:dyDescent="0.35">
      <c r="A127" s="1" t="s">
        <v>145</v>
      </c>
      <c r="B127">
        <v>1</v>
      </c>
    </row>
    <row r="128" spans="1:4" x14ac:dyDescent="0.35">
      <c r="A128" s="1" t="s">
        <v>146</v>
      </c>
      <c r="C128">
        <v>1</v>
      </c>
      <c r="D128">
        <v>1</v>
      </c>
    </row>
    <row r="129" spans="1:4" x14ac:dyDescent="0.35">
      <c r="A129" s="1" t="s">
        <v>147</v>
      </c>
      <c r="B129">
        <v>1</v>
      </c>
      <c r="C129">
        <v>1</v>
      </c>
      <c r="D129">
        <v>1</v>
      </c>
    </row>
    <row r="130" spans="1:4" x14ac:dyDescent="0.35">
      <c r="A130" s="1" t="s">
        <v>149</v>
      </c>
      <c r="B130">
        <v>1</v>
      </c>
    </row>
    <row r="131" spans="1:4" x14ac:dyDescent="0.35">
      <c r="A131" s="1" t="s">
        <v>150</v>
      </c>
      <c r="B131">
        <v>1</v>
      </c>
      <c r="C131">
        <v>1</v>
      </c>
      <c r="D131">
        <v>1</v>
      </c>
    </row>
    <row r="132" spans="1:4" x14ac:dyDescent="0.35">
      <c r="A132" s="1" t="s">
        <v>151</v>
      </c>
      <c r="D132">
        <v>1</v>
      </c>
    </row>
    <row r="133" spans="1:4" x14ac:dyDescent="0.35">
      <c r="A133" s="1" t="s">
        <v>152</v>
      </c>
      <c r="B133">
        <v>0.99999999999999989</v>
      </c>
      <c r="D133">
        <v>1</v>
      </c>
    </row>
    <row r="134" spans="1:4" x14ac:dyDescent="0.35">
      <c r="A134" s="1" t="s">
        <v>153</v>
      </c>
      <c r="D134">
        <v>1</v>
      </c>
    </row>
    <row r="135" spans="1:4" x14ac:dyDescent="0.35">
      <c r="A135" s="1" t="s">
        <v>154</v>
      </c>
      <c r="B135">
        <v>1</v>
      </c>
      <c r="C135">
        <v>1</v>
      </c>
    </row>
    <row r="136" spans="1:4" x14ac:dyDescent="0.35">
      <c r="A136" s="1" t="s">
        <v>155</v>
      </c>
      <c r="B136">
        <v>0.99999999999999978</v>
      </c>
    </row>
    <row r="137" spans="1:4" x14ac:dyDescent="0.35">
      <c r="A137" s="1" t="s">
        <v>156</v>
      </c>
      <c r="C137">
        <v>1</v>
      </c>
    </row>
    <row r="138" spans="1:4" x14ac:dyDescent="0.35">
      <c r="A138" s="1" t="s">
        <v>157</v>
      </c>
      <c r="B138">
        <v>0.99999999999999978</v>
      </c>
      <c r="C138">
        <v>1</v>
      </c>
      <c r="D138">
        <v>1</v>
      </c>
    </row>
    <row r="139" spans="1:4" x14ac:dyDescent="0.35">
      <c r="A139" s="1" t="s">
        <v>158</v>
      </c>
      <c r="B139">
        <v>1</v>
      </c>
    </row>
    <row r="140" spans="1:4" x14ac:dyDescent="0.35">
      <c r="A140" s="1" t="s">
        <v>159</v>
      </c>
      <c r="C140">
        <v>1</v>
      </c>
      <c r="D140">
        <v>1</v>
      </c>
    </row>
    <row r="141" spans="1:4" x14ac:dyDescent="0.35">
      <c r="A141" s="1" t="s">
        <v>160</v>
      </c>
      <c r="B141">
        <v>0.99999999999999978</v>
      </c>
      <c r="D141">
        <v>1</v>
      </c>
    </row>
    <row r="142" spans="1:4" x14ac:dyDescent="0.35">
      <c r="A142" s="1" t="s">
        <v>161</v>
      </c>
      <c r="D142">
        <v>1</v>
      </c>
    </row>
    <row r="143" spans="1:4" x14ac:dyDescent="0.35">
      <c r="A143" s="1" t="s">
        <v>163</v>
      </c>
      <c r="C143">
        <v>1</v>
      </c>
    </row>
    <row r="144" spans="1:4" x14ac:dyDescent="0.35">
      <c r="A144" s="1" t="s">
        <v>164</v>
      </c>
      <c r="B144">
        <v>0.99999999999999978</v>
      </c>
    </row>
    <row r="145" spans="1:5" x14ac:dyDescent="0.35">
      <c r="A145" s="1" t="s">
        <v>166</v>
      </c>
      <c r="C145">
        <v>1</v>
      </c>
      <c r="D145">
        <v>1</v>
      </c>
    </row>
    <row r="146" spans="1:5" x14ac:dyDescent="0.35">
      <c r="A146" s="1" t="s">
        <v>167</v>
      </c>
      <c r="B146">
        <v>1</v>
      </c>
      <c r="C146">
        <v>1</v>
      </c>
      <c r="D146">
        <v>1</v>
      </c>
    </row>
    <row r="147" spans="1:5" x14ac:dyDescent="0.35">
      <c r="A147" s="1" t="s">
        <v>168</v>
      </c>
      <c r="C147">
        <v>1</v>
      </c>
      <c r="E147">
        <v>1</v>
      </c>
    </row>
    <row r="148" spans="1:5" x14ac:dyDescent="0.35">
      <c r="A148" s="1" t="s">
        <v>169</v>
      </c>
      <c r="B148">
        <v>1</v>
      </c>
      <c r="C148">
        <v>1</v>
      </c>
      <c r="E148">
        <v>1</v>
      </c>
    </row>
    <row r="149" spans="1:5" x14ac:dyDescent="0.35">
      <c r="A149" s="1" t="s">
        <v>170</v>
      </c>
      <c r="B149">
        <v>1</v>
      </c>
      <c r="C149">
        <v>1</v>
      </c>
      <c r="D149">
        <v>1</v>
      </c>
    </row>
    <row r="150" spans="1:5" x14ac:dyDescent="0.35">
      <c r="A150" s="1" t="s">
        <v>171</v>
      </c>
      <c r="C150">
        <v>1</v>
      </c>
      <c r="D150">
        <v>0.99999999999999978</v>
      </c>
    </row>
    <row r="151" spans="1:5" x14ac:dyDescent="0.35">
      <c r="A151" s="1" t="s">
        <v>172</v>
      </c>
      <c r="D151">
        <v>1</v>
      </c>
    </row>
    <row r="152" spans="1:5" x14ac:dyDescent="0.35">
      <c r="A152" s="1" t="s">
        <v>173</v>
      </c>
      <c r="D152">
        <v>1</v>
      </c>
    </row>
    <row r="153" spans="1:5" x14ac:dyDescent="0.35">
      <c r="A153" s="1" t="s">
        <v>174</v>
      </c>
      <c r="C153">
        <v>1</v>
      </c>
      <c r="D153">
        <v>1</v>
      </c>
    </row>
    <row r="154" spans="1:5" x14ac:dyDescent="0.35">
      <c r="A154" s="1" t="s">
        <v>175</v>
      </c>
      <c r="B154">
        <v>0.99999999999999989</v>
      </c>
      <c r="C154">
        <v>1</v>
      </c>
      <c r="D154">
        <v>1</v>
      </c>
    </row>
    <row r="155" spans="1:5" x14ac:dyDescent="0.35">
      <c r="A155" s="1" t="s">
        <v>177</v>
      </c>
      <c r="C155">
        <v>1</v>
      </c>
      <c r="D155">
        <v>1</v>
      </c>
    </row>
    <row r="156" spans="1:5" x14ac:dyDescent="0.35">
      <c r="A156" s="1" t="s">
        <v>179</v>
      </c>
      <c r="B156">
        <v>0.99999999999999989</v>
      </c>
      <c r="C156">
        <v>1</v>
      </c>
    </row>
    <row r="157" spans="1:5" x14ac:dyDescent="0.35">
      <c r="A157" s="1" t="s">
        <v>180</v>
      </c>
      <c r="B157">
        <v>0.99999999999999989</v>
      </c>
      <c r="C157">
        <v>1</v>
      </c>
    </row>
    <row r="158" spans="1:5" x14ac:dyDescent="0.35">
      <c r="A158" s="1" t="s">
        <v>181</v>
      </c>
      <c r="B158">
        <v>1</v>
      </c>
    </row>
    <row r="159" spans="1:5" x14ac:dyDescent="0.35">
      <c r="A159" s="1" t="s">
        <v>182</v>
      </c>
      <c r="B159">
        <v>1</v>
      </c>
      <c r="C159">
        <v>1</v>
      </c>
      <c r="D159">
        <v>1</v>
      </c>
    </row>
    <row r="160" spans="1:5" x14ac:dyDescent="0.35">
      <c r="A160" s="1" t="s">
        <v>185</v>
      </c>
      <c r="B160">
        <v>0.99999999999999989</v>
      </c>
    </row>
    <row r="161" spans="1:5" x14ac:dyDescent="0.35">
      <c r="A161" s="1" t="s">
        <v>186</v>
      </c>
      <c r="C161">
        <v>1</v>
      </c>
      <c r="D161">
        <v>1</v>
      </c>
    </row>
    <row r="162" spans="1:5" x14ac:dyDescent="0.35">
      <c r="A162" s="1" t="s">
        <v>187</v>
      </c>
      <c r="C162">
        <v>1</v>
      </c>
      <c r="D162">
        <v>1</v>
      </c>
    </row>
    <row r="163" spans="1:5" x14ac:dyDescent="0.35">
      <c r="A163" s="1" t="s">
        <v>188</v>
      </c>
      <c r="D163">
        <v>0.99999999999999978</v>
      </c>
    </row>
    <row r="164" spans="1:5" x14ac:dyDescent="0.35">
      <c r="A164" s="1" t="s">
        <v>189</v>
      </c>
      <c r="B164">
        <v>1</v>
      </c>
    </row>
    <row r="165" spans="1:5" x14ac:dyDescent="0.35">
      <c r="A165" s="1" t="s">
        <v>190</v>
      </c>
      <c r="C165">
        <v>1</v>
      </c>
      <c r="D165">
        <v>1</v>
      </c>
    </row>
    <row r="166" spans="1:5" x14ac:dyDescent="0.35">
      <c r="A166" s="1" t="s">
        <v>191</v>
      </c>
      <c r="C166">
        <v>1</v>
      </c>
      <c r="D166">
        <v>1</v>
      </c>
    </row>
    <row r="167" spans="1:5" x14ac:dyDescent="0.35">
      <c r="A167" s="1" t="s">
        <v>192</v>
      </c>
      <c r="B167">
        <v>0.99999999999999978</v>
      </c>
      <c r="E167">
        <v>1</v>
      </c>
    </row>
    <row r="168" spans="1:5" x14ac:dyDescent="0.35">
      <c r="A168" s="1" t="s">
        <v>193</v>
      </c>
      <c r="B168">
        <v>0.99999999999999978</v>
      </c>
      <c r="D168">
        <v>1</v>
      </c>
    </row>
    <row r="169" spans="1:5" x14ac:dyDescent="0.35">
      <c r="A169" s="1" t="s">
        <v>194</v>
      </c>
      <c r="C169">
        <v>1</v>
      </c>
    </row>
    <row r="170" spans="1:5" x14ac:dyDescent="0.35">
      <c r="A170" s="1" t="s">
        <v>195</v>
      </c>
      <c r="D170">
        <v>1</v>
      </c>
    </row>
    <row r="171" spans="1:5" x14ac:dyDescent="0.35">
      <c r="A171" s="1" t="s">
        <v>196</v>
      </c>
      <c r="B171">
        <v>1</v>
      </c>
    </row>
    <row r="172" spans="1:5" x14ac:dyDescent="0.35">
      <c r="A172" s="1" t="s">
        <v>197</v>
      </c>
      <c r="B172">
        <v>0.99999999999999989</v>
      </c>
    </row>
    <row r="173" spans="1:5" x14ac:dyDescent="0.35">
      <c r="A173" s="1" t="s">
        <v>198</v>
      </c>
      <c r="B173">
        <v>1</v>
      </c>
      <c r="C173">
        <v>1</v>
      </c>
      <c r="D173">
        <v>1</v>
      </c>
    </row>
    <row r="174" spans="1:5" x14ac:dyDescent="0.35">
      <c r="A174" s="1" t="s">
        <v>199</v>
      </c>
      <c r="C174">
        <v>1</v>
      </c>
    </row>
    <row r="175" spans="1:5" x14ac:dyDescent="0.35">
      <c r="A175" s="1" t="s">
        <v>200</v>
      </c>
      <c r="C175">
        <v>1</v>
      </c>
    </row>
    <row r="176" spans="1:5" x14ac:dyDescent="0.35">
      <c r="A176" s="1" t="s">
        <v>201</v>
      </c>
      <c r="B176">
        <v>1</v>
      </c>
      <c r="D176">
        <v>1</v>
      </c>
    </row>
    <row r="177" spans="1:5" x14ac:dyDescent="0.35">
      <c r="A177" s="1" t="s">
        <v>202</v>
      </c>
      <c r="B177">
        <v>0.99999999999999989</v>
      </c>
    </row>
    <row r="178" spans="1:5" x14ac:dyDescent="0.35">
      <c r="A178" s="1" t="s">
        <v>203</v>
      </c>
      <c r="B178">
        <v>1</v>
      </c>
      <c r="E178">
        <v>1</v>
      </c>
    </row>
    <row r="179" spans="1:5" x14ac:dyDescent="0.35">
      <c r="A179" s="1" t="s">
        <v>204</v>
      </c>
      <c r="B179">
        <v>1</v>
      </c>
      <c r="C179">
        <v>1</v>
      </c>
      <c r="D179">
        <v>1</v>
      </c>
    </row>
    <row r="180" spans="1:5" x14ac:dyDescent="0.35">
      <c r="A180" s="1" t="s">
        <v>205</v>
      </c>
      <c r="B180">
        <v>0.99999999999999978</v>
      </c>
      <c r="C180">
        <v>1</v>
      </c>
      <c r="D180">
        <v>0.99999999999999978</v>
      </c>
    </row>
    <row r="181" spans="1:5" x14ac:dyDescent="0.35">
      <c r="A181" s="1" t="s">
        <v>206</v>
      </c>
      <c r="C181">
        <v>1</v>
      </c>
    </row>
    <row r="182" spans="1:5" x14ac:dyDescent="0.35">
      <c r="A182" s="1" t="s">
        <v>207</v>
      </c>
      <c r="B182">
        <v>1</v>
      </c>
      <c r="C182">
        <v>1</v>
      </c>
    </row>
    <row r="183" spans="1:5" x14ac:dyDescent="0.35">
      <c r="A183" s="1" t="s">
        <v>208</v>
      </c>
      <c r="B183">
        <v>1</v>
      </c>
      <c r="C183">
        <v>1</v>
      </c>
    </row>
    <row r="184" spans="1:5" x14ac:dyDescent="0.35">
      <c r="A184" s="1" t="s">
        <v>209</v>
      </c>
      <c r="B184">
        <v>1</v>
      </c>
      <c r="C184">
        <v>1</v>
      </c>
      <c r="D184">
        <v>1</v>
      </c>
    </row>
    <row r="185" spans="1:5" x14ac:dyDescent="0.35">
      <c r="A185" s="1" t="s">
        <v>210</v>
      </c>
      <c r="C185">
        <v>1</v>
      </c>
      <c r="D185">
        <v>1</v>
      </c>
    </row>
    <row r="186" spans="1:5" x14ac:dyDescent="0.35">
      <c r="A186" s="1" t="s">
        <v>211</v>
      </c>
      <c r="B186">
        <v>0.99999999999999989</v>
      </c>
      <c r="C186">
        <v>1</v>
      </c>
    </row>
    <row r="187" spans="1:5" x14ac:dyDescent="0.35">
      <c r="A187" s="1" t="s">
        <v>212</v>
      </c>
      <c r="B187">
        <v>1</v>
      </c>
      <c r="D187">
        <v>1</v>
      </c>
    </row>
    <row r="188" spans="1:5" x14ac:dyDescent="0.35">
      <c r="A188" s="1" t="s">
        <v>213</v>
      </c>
      <c r="B188">
        <v>1</v>
      </c>
      <c r="C188">
        <v>1</v>
      </c>
    </row>
    <row r="189" spans="1:5" x14ac:dyDescent="0.35">
      <c r="A189" s="1" t="s">
        <v>215</v>
      </c>
      <c r="D189">
        <v>1</v>
      </c>
    </row>
    <row r="190" spans="1:5" x14ac:dyDescent="0.35">
      <c r="A190" s="1" t="s">
        <v>216</v>
      </c>
      <c r="B190">
        <v>1</v>
      </c>
      <c r="C190">
        <v>1</v>
      </c>
    </row>
    <row r="191" spans="1:5" x14ac:dyDescent="0.35">
      <c r="A191" s="1" t="s">
        <v>217</v>
      </c>
      <c r="B191">
        <v>1</v>
      </c>
      <c r="D191">
        <v>1</v>
      </c>
    </row>
    <row r="192" spans="1:5" x14ac:dyDescent="0.35">
      <c r="A192" s="1" t="s">
        <v>218</v>
      </c>
      <c r="B192">
        <v>1</v>
      </c>
    </row>
    <row r="193" spans="1:4" x14ac:dyDescent="0.35">
      <c r="A193" s="1" t="s">
        <v>219</v>
      </c>
      <c r="D193">
        <v>1</v>
      </c>
    </row>
    <row r="194" spans="1:4" x14ac:dyDescent="0.35">
      <c r="A194" s="1" t="s">
        <v>220</v>
      </c>
      <c r="C194">
        <v>1</v>
      </c>
    </row>
    <row r="195" spans="1:4" x14ac:dyDescent="0.35">
      <c r="A195" s="1" t="s">
        <v>221</v>
      </c>
      <c r="D195">
        <v>1</v>
      </c>
    </row>
    <row r="196" spans="1:4" x14ac:dyDescent="0.35">
      <c r="A196" s="1" t="s">
        <v>222</v>
      </c>
      <c r="B196">
        <v>0.99999999999999978</v>
      </c>
      <c r="C196">
        <v>1</v>
      </c>
    </row>
    <row r="197" spans="1:4" x14ac:dyDescent="0.35">
      <c r="A197" s="1" t="s">
        <v>223</v>
      </c>
      <c r="B197">
        <v>1</v>
      </c>
      <c r="D197">
        <v>1</v>
      </c>
    </row>
    <row r="198" spans="1:4" x14ac:dyDescent="0.35">
      <c r="A198" s="1" t="s">
        <v>224</v>
      </c>
      <c r="C198">
        <v>1</v>
      </c>
    </row>
    <row r="199" spans="1:4" x14ac:dyDescent="0.35">
      <c r="A199" s="1" t="s">
        <v>225</v>
      </c>
      <c r="B199">
        <v>1</v>
      </c>
      <c r="C199">
        <v>1</v>
      </c>
      <c r="D199">
        <v>1</v>
      </c>
    </row>
    <row r="200" spans="1:4" x14ac:dyDescent="0.35">
      <c r="A200" s="1" t="s">
        <v>226</v>
      </c>
      <c r="C200">
        <v>1</v>
      </c>
    </row>
    <row r="201" spans="1:4" x14ac:dyDescent="0.35">
      <c r="A201" s="1" t="s">
        <v>227</v>
      </c>
      <c r="B201">
        <v>1</v>
      </c>
      <c r="C201">
        <v>1</v>
      </c>
      <c r="D201">
        <v>1</v>
      </c>
    </row>
    <row r="202" spans="1:4" x14ac:dyDescent="0.35">
      <c r="A202" s="1" t="s">
        <v>229</v>
      </c>
      <c r="D202">
        <v>1</v>
      </c>
    </row>
    <row r="203" spans="1:4" x14ac:dyDescent="0.35">
      <c r="A203" s="1" t="s">
        <v>230</v>
      </c>
      <c r="D203">
        <v>1</v>
      </c>
    </row>
    <row r="204" spans="1:4" x14ac:dyDescent="0.35">
      <c r="A204" s="1" t="s">
        <v>231</v>
      </c>
      <c r="B204">
        <v>1</v>
      </c>
      <c r="C204">
        <v>1</v>
      </c>
    </row>
    <row r="205" spans="1:4" x14ac:dyDescent="0.35">
      <c r="A205" s="1" t="s">
        <v>232</v>
      </c>
      <c r="B205">
        <v>1</v>
      </c>
      <c r="D205">
        <v>1</v>
      </c>
    </row>
    <row r="206" spans="1:4" x14ac:dyDescent="0.35">
      <c r="A206" s="1" t="s">
        <v>233</v>
      </c>
      <c r="B206">
        <v>1</v>
      </c>
    </row>
    <row r="207" spans="1:4" x14ac:dyDescent="0.35">
      <c r="A207" s="1" t="s">
        <v>234</v>
      </c>
      <c r="C207">
        <v>1</v>
      </c>
    </row>
    <row r="208" spans="1:4" x14ac:dyDescent="0.35">
      <c r="A208" s="1" t="s">
        <v>235</v>
      </c>
      <c r="B208">
        <v>1</v>
      </c>
      <c r="C208">
        <v>1</v>
      </c>
    </row>
    <row r="209" spans="1:4" x14ac:dyDescent="0.35">
      <c r="A209" s="1" t="s">
        <v>236</v>
      </c>
      <c r="B209">
        <v>1</v>
      </c>
      <c r="D209">
        <v>1</v>
      </c>
    </row>
    <row r="210" spans="1:4" x14ac:dyDescent="0.35">
      <c r="A210" s="1" t="s">
        <v>237</v>
      </c>
      <c r="B210">
        <v>1</v>
      </c>
    </row>
    <row r="211" spans="1:4" x14ac:dyDescent="0.35">
      <c r="A211" s="1" t="s">
        <v>238</v>
      </c>
      <c r="D211">
        <v>1</v>
      </c>
    </row>
    <row r="212" spans="1:4" x14ac:dyDescent="0.35">
      <c r="A212" s="1" t="s">
        <v>239</v>
      </c>
      <c r="C212">
        <v>1</v>
      </c>
    </row>
    <row r="213" spans="1:4" x14ac:dyDescent="0.35">
      <c r="A213" s="1" t="s">
        <v>240</v>
      </c>
      <c r="B213">
        <v>1</v>
      </c>
      <c r="C213">
        <v>1</v>
      </c>
    </row>
    <row r="214" spans="1:4" x14ac:dyDescent="0.35">
      <c r="A214" s="1" t="s">
        <v>241</v>
      </c>
      <c r="C214">
        <v>1</v>
      </c>
      <c r="D214">
        <v>1</v>
      </c>
    </row>
    <row r="215" spans="1:4" x14ac:dyDescent="0.35">
      <c r="A215" s="1" t="s">
        <v>242</v>
      </c>
      <c r="B215">
        <v>0.99999999999999978</v>
      </c>
    </row>
    <row r="216" spans="1:4" x14ac:dyDescent="0.35">
      <c r="A216" s="1" t="s">
        <v>243</v>
      </c>
      <c r="B216">
        <v>1</v>
      </c>
    </row>
    <row r="217" spans="1:4" x14ac:dyDescent="0.35">
      <c r="A217" s="1" t="s">
        <v>244</v>
      </c>
      <c r="C217">
        <v>1</v>
      </c>
      <c r="D217">
        <v>1</v>
      </c>
    </row>
    <row r="218" spans="1:4" x14ac:dyDescent="0.35">
      <c r="A218" s="1" t="s">
        <v>245</v>
      </c>
      <c r="B218">
        <v>0.99999999999999978</v>
      </c>
    </row>
    <row r="219" spans="1:4" x14ac:dyDescent="0.35">
      <c r="A219" s="1" t="s">
        <v>246</v>
      </c>
      <c r="C219">
        <v>1</v>
      </c>
      <c r="D219">
        <v>1</v>
      </c>
    </row>
    <row r="220" spans="1:4" x14ac:dyDescent="0.35">
      <c r="A220" s="1" t="s">
        <v>247</v>
      </c>
      <c r="C220">
        <v>1</v>
      </c>
    </row>
    <row r="221" spans="1:4" x14ac:dyDescent="0.35">
      <c r="A221" s="1" t="s">
        <v>248</v>
      </c>
      <c r="B221">
        <v>1</v>
      </c>
      <c r="C221">
        <v>1</v>
      </c>
      <c r="D221">
        <v>1</v>
      </c>
    </row>
    <row r="222" spans="1:4" x14ac:dyDescent="0.35">
      <c r="A222" s="1" t="s">
        <v>249</v>
      </c>
      <c r="B222">
        <v>1</v>
      </c>
      <c r="D222">
        <v>1</v>
      </c>
    </row>
    <row r="223" spans="1:4" x14ac:dyDescent="0.35">
      <c r="A223" s="1"/>
    </row>
    <row r="224" spans="1:4" x14ac:dyDescent="0.35">
      <c r="A224" s="1"/>
    </row>
    <row r="225" spans="1:1" x14ac:dyDescent="0.35">
      <c r="A225" s="1"/>
    </row>
    <row r="226" spans="1:1" x14ac:dyDescent="0.35">
      <c r="A226" s="1"/>
    </row>
    <row r="227" spans="1:1" x14ac:dyDescent="0.35">
      <c r="A227" s="1"/>
    </row>
    <row r="228" spans="1:1" x14ac:dyDescent="0.35">
      <c r="A228" s="1"/>
    </row>
    <row r="229" spans="1:1" x14ac:dyDescent="0.35">
      <c r="A229" s="1"/>
    </row>
    <row r="230" spans="1:1" x14ac:dyDescent="0.35">
      <c r="A230" s="1"/>
    </row>
    <row r="231" spans="1:1" x14ac:dyDescent="0.35">
      <c r="A231" s="1"/>
    </row>
    <row r="232" spans="1:1" x14ac:dyDescent="0.35">
      <c r="A232" s="1"/>
    </row>
    <row r="233" spans="1:1" x14ac:dyDescent="0.35">
      <c r="A233" s="1"/>
    </row>
    <row r="234" spans="1:1" x14ac:dyDescent="0.35">
      <c r="A234" s="1"/>
    </row>
    <row r="235" spans="1:1" x14ac:dyDescent="0.35">
      <c r="A235" s="1"/>
    </row>
    <row r="236" spans="1:1" x14ac:dyDescent="0.35">
      <c r="A236" s="1"/>
    </row>
    <row r="237" spans="1:1" x14ac:dyDescent="0.35">
      <c r="A237" s="1"/>
    </row>
    <row r="238" spans="1:1" x14ac:dyDescent="0.35">
      <c r="A238" s="1"/>
    </row>
    <row r="239" spans="1:1" x14ac:dyDescent="0.35">
      <c r="A239" s="1"/>
    </row>
    <row r="240" spans="1:1" x14ac:dyDescent="0.35">
      <c r="A24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B28C-82CF-4C87-88CB-25BC4FA8AC51}">
  <dimension ref="A1:F251"/>
  <sheetViews>
    <sheetView workbookViewId="0"/>
  </sheetViews>
  <sheetFormatPr defaultRowHeight="14.5" x14ac:dyDescent="0.35"/>
  <sheetData>
    <row r="1" spans="1:6" x14ac:dyDescent="0.35"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35">
      <c r="A2" s="1" t="s">
        <v>0</v>
      </c>
      <c r="B2" t="s">
        <v>270</v>
      </c>
      <c r="C2">
        <v>1</v>
      </c>
      <c r="D2">
        <v>1</v>
      </c>
      <c r="E2" t="s">
        <v>270</v>
      </c>
      <c r="F2" t="s">
        <v>270</v>
      </c>
    </row>
    <row r="3" spans="1:6" x14ac:dyDescent="0.35">
      <c r="A3" s="1" t="s">
        <v>1</v>
      </c>
      <c r="B3" t="s">
        <v>270</v>
      </c>
      <c r="C3" t="s">
        <v>270</v>
      </c>
      <c r="D3" t="s">
        <v>270</v>
      </c>
      <c r="E3" t="s">
        <v>270</v>
      </c>
      <c r="F3" t="s">
        <v>270</v>
      </c>
    </row>
    <row r="4" spans="1:6" x14ac:dyDescent="0.35">
      <c r="A4" s="1" t="s">
        <v>2</v>
      </c>
      <c r="B4">
        <v>1</v>
      </c>
      <c r="C4" t="s">
        <v>270</v>
      </c>
      <c r="D4" t="s">
        <v>270</v>
      </c>
      <c r="E4" t="s">
        <v>270</v>
      </c>
      <c r="F4" t="s">
        <v>270</v>
      </c>
    </row>
    <row r="5" spans="1:6" x14ac:dyDescent="0.35">
      <c r="A5" s="1" t="s">
        <v>3</v>
      </c>
      <c r="B5">
        <v>1</v>
      </c>
      <c r="C5" t="s">
        <v>270</v>
      </c>
      <c r="D5">
        <v>1</v>
      </c>
      <c r="E5" t="s">
        <v>270</v>
      </c>
      <c r="F5" t="s">
        <v>270</v>
      </c>
    </row>
    <row r="6" spans="1:6" x14ac:dyDescent="0.35">
      <c r="A6" s="1" t="s">
        <v>4</v>
      </c>
      <c r="B6" t="s">
        <v>270</v>
      </c>
      <c r="C6" t="s">
        <v>270</v>
      </c>
      <c r="D6">
        <v>1</v>
      </c>
      <c r="E6" t="s">
        <v>270</v>
      </c>
      <c r="F6" t="s">
        <v>270</v>
      </c>
    </row>
    <row r="7" spans="1:6" x14ac:dyDescent="0.35">
      <c r="A7" s="1" t="s">
        <v>5</v>
      </c>
      <c r="B7">
        <v>1</v>
      </c>
      <c r="C7" t="s">
        <v>270</v>
      </c>
      <c r="D7">
        <v>1</v>
      </c>
      <c r="E7" t="s">
        <v>270</v>
      </c>
      <c r="F7">
        <v>1</v>
      </c>
    </row>
    <row r="8" spans="1:6" x14ac:dyDescent="0.35">
      <c r="A8" s="1" t="s">
        <v>6</v>
      </c>
      <c r="B8" t="s">
        <v>270</v>
      </c>
      <c r="C8">
        <v>1</v>
      </c>
      <c r="D8" t="s">
        <v>270</v>
      </c>
      <c r="E8" t="s">
        <v>270</v>
      </c>
      <c r="F8" t="s">
        <v>270</v>
      </c>
    </row>
    <row r="9" spans="1:6" x14ac:dyDescent="0.35">
      <c r="A9" s="1" t="s">
        <v>7</v>
      </c>
      <c r="B9">
        <v>1</v>
      </c>
      <c r="C9">
        <v>1</v>
      </c>
      <c r="D9">
        <v>1</v>
      </c>
      <c r="E9" t="s">
        <v>270</v>
      </c>
      <c r="F9">
        <v>1</v>
      </c>
    </row>
    <row r="10" spans="1:6" x14ac:dyDescent="0.35">
      <c r="A10" s="1" t="s">
        <v>8</v>
      </c>
      <c r="B10" t="s">
        <v>270</v>
      </c>
      <c r="C10" t="s">
        <v>270</v>
      </c>
      <c r="D10" t="s">
        <v>270</v>
      </c>
      <c r="E10">
        <v>1</v>
      </c>
      <c r="F10">
        <v>1</v>
      </c>
    </row>
    <row r="11" spans="1:6" x14ac:dyDescent="0.35">
      <c r="A11" s="1" t="s">
        <v>9</v>
      </c>
      <c r="B11">
        <v>1</v>
      </c>
      <c r="C11" t="s">
        <v>270</v>
      </c>
      <c r="D11">
        <v>1</v>
      </c>
      <c r="E11" t="s">
        <v>270</v>
      </c>
      <c r="F11">
        <v>1</v>
      </c>
    </row>
    <row r="12" spans="1:6" x14ac:dyDescent="0.35">
      <c r="A12" s="1" t="s">
        <v>10</v>
      </c>
      <c r="B12">
        <v>1</v>
      </c>
      <c r="C12" t="s">
        <v>270</v>
      </c>
      <c r="D12">
        <v>1</v>
      </c>
      <c r="E12" t="s">
        <v>270</v>
      </c>
      <c r="F12" t="s">
        <v>270</v>
      </c>
    </row>
    <row r="13" spans="1:6" x14ac:dyDescent="0.35">
      <c r="A13" s="1" t="s">
        <v>11</v>
      </c>
      <c r="B13">
        <v>1</v>
      </c>
      <c r="C13">
        <v>1</v>
      </c>
      <c r="D13" t="s">
        <v>270</v>
      </c>
      <c r="E13">
        <v>1</v>
      </c>
      <c r="F13" t="s">
        <v>270</v>
      </c>
    </row>
    <row r="14" spans="1:6" x14ac:dyDescent="0.35">
      <c r="A14" s="1" t="s">
        <v>12</v>
      </c>
      <c r="B14">
        <v>1</v>
      </c>
      <c r="C14">
        <v>1</v>
      </c>
      <c r="D14">
        <v>1</v>
      </c>
      <c r="E14">
        <v>1</v>
      </c>
      <c r="F14" t="s">
        <v>270</v>
      </c>
    </row>
    <row r="15" spans="1:6" x14ac:dyDescent="0.35">
      <c r="A15" s="1" t="s">
        <v>13</v>
      </c>
      <c r="B15" t="s">
        <v>270</v>
      </c>
      <c r="C15">
        <v>1</v>
      </c>
      <c r="D15">
        <v>1</v>
      </c>
      <c r="E15">
        <v>1</v>
      </c>
      <c r="F15">
        <v>1</v>
      </c>
    </row>
    <row r="16" spans="1:6" x14ac:dyDescent="0.35">
      <c r="A16" s="1" t="s">
        <v>14</v>
      </c>
      <c r="B16" t="s">
        <v>270</v>
      </c>
      <c r="C16" t="s">
        <v>270</v>
      </c>
      <c r="D16" t="s">
        <v>270</v>
      </c>
      <c r="E16">
        <v>1</v>
      </c>
      <c r="F16" t="s">
        <v>270</v>
      </c>
    </row>
    <row r="17" spans="1:6" x14ac:dyDescent="0.35">
      <c r="A17" s="1" t="s">
        <v>15</v>
      </c>
      <c r="B17" t="s">
        <v>270</v>
      </c>
      <c r="C17" t="s">
        <v>270</v>
      </c>
      <c r="D17">
        <v>1</v>
      </c>
      <c r="E17">
        <v>1</v>
      </c>
      <c r="F17" t="s">
        <v>270</v>
      </c>
    </row>
    <row r="18" spans="1:6" x14ac:dyDescent="0.35">
      <c r="A18" s="1" t="s">
        <v>16</v>
      </c>
      <c r="B18">
        <v>1</v>
      </c>
      <c r="C18">
        <v>1</v>
      </c>
      <c r="D18">
        <v>1</v>
      </c>
      <c r="E18" t="s">
        <v>270</v>
      </c>
      <c r="F18" t="s">
        <v>270</v>
      </c>
    </row>
    <row r="19" spans="1:6" x14ac:dyDescent="0.35">
      <c r="A19" s="1" t="s">
        <v>17</v>
      </c>
      <c r="B19">
        <v>1</v>
      </c>
      <c r="C19" t="s">
        <v>270</v>
      </c>
      <c r="D19" t="s">
        <v>270</v>
      </c>
      <c r="E19">
        <v>1</v>
      </c>
      <c r="F19">
        <v>1</v>
      </c>
    </row>
    <row r="20" spans="1:6" x14ac:dyDescent="0.35">
      <c r="A20" s="1" t="s">
        <v>18</v>
      </c>
      <c r="B20" t="s">
        <v>270</v>
      </c>
      <c r="C20" t="s">
        <v>270</v>
      </c>
      <c r="D20" t="s">
        <v>270</v>
      </c>
      <c r="E20" t="s">
        <v>270</v>
      </c>
      <c r="F20" t="s">
        <v>270</v>
      </c>
    </row>
    <row r="21" spans="1:6" x14ac:dyDescent="0.35">
      <c r="A21" s="1" t="s">
        <v>19</v>
      </c>
      <c r="B21" t="s">
        <v>270</v>
      </c>
      <c r="C21">
        <v>1</v>
      </c>
      <c r="D21" t="s">
        <v>270</v>
      </c>
      <c r="E21" t="s">
        <v>270</v>
      </c>
      <c r="F21" t="s">
        <v>270</v>
      </c>
    </row>
    <row r="22" spans="1:6" x14ac:dyDescent="0.35">
      <c r="A22" s="1" t="s">
        <v>20</v>
      </c>
      <c r="B22">
        <v>1</v>
      </c>
      <c r="C22">
        <v>1</v>
      </c>
      <c r="D22">
        <v>1</v>
      </c>
      <c r="E22">
        <v>1</v>
      </c>
      <c r="F22" t="s">
        <v>270</v>
      </c>
    </row>
    <row r="23" spans="1:6" x14ac:dyDescent="0.35">
      <c r="A23" s="1" t="s">
        <v>21</v>
      </c>
      <c r="B23">
        <v>1</v>
      </c>
      <c r="C23">
        <v>1</v>
      </c>
      <c r="D23" t="s">
        <v>270</v>
      </c>
      <c r="E23" t="s">
        <v>270</v>
      </c>
      <c r="F23">
        <v>1</v>
      </c>
    </row>
    <row r="24" spans="1:6" x14ac:dyDescent="0.35">
      <c r="A24" s="1" t="s">
        <v>22</v>
      </c>
      <c r="B24" t="s">
        <v>270</v>
      </c>
      <c r="C24" t="s">
        <v>270</v>
      </c>
      <c r="D24" t="s">
        <v>270</v>
      </c>
      <c r="E24">
        <v>1</v>
      </c>
      <c r="F24">
        <v>1</v>
      </c>
    </row>
    <row r="25" spans="1:6" x14ac:dyDescent="0.35">
      <c r="A25" s="1" t="s">
        <v>23</v>
      </c>
      <c r="B25">
        <v>1</v>
      </c>
      <c r="C25" t="s">
        <v>270</v>
      </c>
      <c r="D25">
        <v>1</v>
      </c>
      <c r="E25" t="s">
        <v>270</v>
      </c>
      <c r="F25">
        <v>1</v>
      </c>
    </row>
    <row r="26" spans="1:6" x14ac:dyDescent="0.35">
      <c r="A26" s="1" t="s">
        <v>24</v>
      </c>
      <c r="B26" t="s">
        <v>270</v>
      </c>
      <c r="C26">
        <v>1</v>
      </c>
      <c r="D26" t="s">
        <v>270</v>
      </c>
      <c r="E26" t="s">
        <v>270</v>
      </c>
      <c r="F26">
        <v>1</v>
      </c>
    </row>
    <row r="27" spans="1:6" x14ac:dyDescent="0.35">
      <c r="A27" s="1" t="s">
        <v>25</v>
      </c>
      <c r="B27" t="s">
        <v>270</v>
      </c>
      <c r="C27">
        <v>1</v>
      </c>
      <c r="D27" t="s">
        <v>270</v>
      </c>
      <c r="E27">
        <v>1</v>
      </c>
      <c r="F27">
        <v>1</v>
      </c>
    </row>
    <row r="28" spans="1:6" x14ac:dyDescent="0.35">
      <c r="A28" s="1" t="s">
        <v>26</v>
      </c>
      <c r="B28" t="s">
        <v>270</v>
      </c>
      <c r="C28">
        <v>1</v>
      </c>
      <c r="D28">
        <v>1</v>
      </c>
      <c r="E28">
        <v>1</v>
      </c>
      <c r="F28" t="s">
        <v>270</v>
      </c>
    </row>
    <row r="29" spans="1:6" x14ac:dyDescent="0.35">
      <c r="A29" s="1" t="s">
        <v>27</v>
      </c>
      <c r="B29">
        <v>1</v>
      </c>
      <c r="C29" t="s">
        <v>270</v>
      </c>
      <c r="D29">
        <v>1</v>
      </c>
      <c r="E29">
        <v>1</v>
      </c>
      <c r="F29">
        <v>1</v>
      </c>
    </row>
    <row r="30" spans="1:6" x14ac:dyDescent="0.35">
      <c r="A30" s="1" t="s">
        <v>28</v>
      </c>
      <c r="B30">
        <v>1</v>
      </c>
      <c r="C30">
        <v>1</v>
      </c>
      <c r="D30" t="s">
        <v>270</v>
      </c>
      <c r="E30" t="s">
        <v>270</v>
      </c>
      <c r="F30">
        <v>1</v>
      </c>
    </row>
    <row r="31" spans="1:6" x14ac:dyDescent="0.35">
      <c r="A31" s="1" t="s">
        <v>29</v>
      </c>
      <c r="B31" t="s">
        <v>270</v>
      </c>
      <c r="C31">
        <v>1</v>
      </c>
      <c r="D31">
        <v>1</v>
      </c>
      <c r="E31" t="s">
        <v>270</v>
      </c>
      <c r="F31" t="s">
        <v>270</v>
      </c>
    </row>
    <row r="32" spans="1:6" x14ac:dyDescent="0.35">
      <c r="A32" s="1" t="s">
        <v>30</v>
      </c>
      <c r="B32">
        <v>1</v>
      </c>
      <c r="C32">
        <v>1</v>
      </c>
      <c r="D32">
        <v>1</v>
      </c>
      <c r="E32">
        <v>1</v>
      </c>
      <c r="F32" t="s">
        <v>270</v>
      </c>
    </row>
    <row r="33" spans="1:6" x14ac:dyDescent="0.35">
      <c r="A33" s="1" t="s">
        <v>31</v>
      </c>
      <c r="B33">
        <v>1</v>
      </c>
      <c r="C33">
        <v>1</v>
      </c>
      <c r="D33" t="s">
        <v>270</v>
      </c>
      <c r="E33">
        <v>1</v>
      </c>
      <c r="F33">
        <v>1</v>
      </c>
    </row>
    <row r="34" spans="1:6" x14ac:dyDescent="0.35">
      <c r="A34" s="1" t="s">
        <v>32</v>
      </c>
      <c r="B34" t="s">
        <v>270</v>
      </c>
      <c r="C34" t="s">
        <v>270</v>
      </c>
      <c r="D34" t="s">
        <v>270</v>
      </c>
      <c r="E34" t="s">
        <v>270</v>
      </c>
      <c r="F34" t="s">
        <v>270</v>
      </c>
    </row>
    <row r="35" spans="1:6" x14ac:dyDescent="0.35">
      <c r="A35" s="1" t="s">
        <v>33</v>
      </c>
      <c r="B35" t="s">
        <v>270</v>
      </c>
      <c r="C35" t="s">
        <v>270</v>
      </c>
      <c r="D35" t="s">
        <v>270</v>
      </c>
      <c r="E35" t="s">
        <v>270</v>
      </c>
      <c r="F35" t="s">
        <v>270</v>
      </c>
    </row>
    <row r="36" spans="1:6" x14ac:dyDescent="0.35">
      <c r="A36" s="1" t="s">
        <v>34</v>
      </c>
      <c r="B36" t="s">
        <v>270</v>
      </c>
      <c r="C36" t="s">
        <v>270</v>
      </c>
      <c r="D36">
        <v>1</v>
      </c>
      <c r="E36" t="s">
        <v>270</v>
      </c>
      <c r="F36" t="s">
        <v>270</v>
      </c>
    </row>
    <row r="37" spans="1:6" x14ac:dyDescent="0.35">
      <c r="A37" s="1" t="s">
        <v>35</v>
      </c>
      <c r="B37" t="s">
        <v>270</v>
      </c>
      <c r="C37">
        <v>1</v>
      </c>
      <c r="D37" t="s">
        <v>270</v>
      </c>
      <c r="E37" t="s">
        <v>270</v>
      </c>
      <c r="F37" t="s">
        <v>270</v>
      </c>
    </row>
    <row r="38" spans="1:6" x14ac:dyDescent="0.35">
      <c r="A38" s="1" t="s">
        <v>36</v>
      </c>
      <c r="B38" t="s">
        <v>270</v>
      </c>
      <c r="C38" t="s">
        <v>270</v>
      </c>
      <c r="D38" t="s">
        <v>270</v>
      </c>
      <c r="E38">
        <v>1</v>
      </c>
      <c r="F38" t="s">
        <v>270</v>
      </c>
    </row>
    <row r="39" spans="1:6" x14ac:dyDescent="0.35">
      <c r="A39" s="1" t="s">
        <v>37</v>
      </c>
      <c r="B39">
        <v>1</v>
      </c>
      <c r="C39" t="s">
        <v>270</v>
      </c>
      <c r="D39">
        <v>1</v>
      </c>
      <c r="E39" t="s">
        <v>270</v>
      </c>
      <c r="F39">
        <v>1</v>
      </c>
    </row>
    <row r="40" spans="1:6" x14ac:dyDescent="0.35">
      <c r="A40" s="1" t="s">
        <v>38</v>
      </c>
      <c r="B40" t="s">
        <v>270</v>
      </c>
      <c r="C40">
        <v>1</v>
      </c>
      <c r="D40">
        <v>1</v>
      </c>
      <c r="E40" t="s">
        <v>270</v>
      </c>
      <c r="F40" t="s">
        <v>270</v>
      </c>
    </row>
    <row r="41" spans="1:6" x14ac:dyDescent="0.35">
      <c r="A41" s="1" t="s">
        <v>39</v>
      </c>
      <c r="B41" t="s">
        <v>270</v>
      </c>
      <c r="C41" t="s">
        <v>270</v>
      </c>
      <c r="D41">
        <v>1</v>
      </c>
      <c r="E41" t="s">
        <v>270</v>
      </c>
      <c r="F41">
        <v>1</v>
      </c>
    </row>
    <row r="42" spans="1:6" x14ac:dyDescent="0.35">
      <c r="A42" s="1" t="s">
        <v>40</v>
      </c>
      <c r="B42">
        <v>1</v>
      </c>
      <c r="C42" t="s">
        <v>270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B43">
        <v>1</v>
      </c>
      <c r="C43" t="s">
        <v>270</v>
      </c>
      <c r="D43" t="s">
        <v>270</v>
      </c>
      <c r="E43" t="s">
        <v>270</v>
      </c>
      <c r="F43" t="s">
        <v>270</v>
      </c>
    </row>
    <row r="44" spans="1:6" x14ac:dyDescent="0.35">
      <c r="A44" s="1" t="s">
        <v>42</v>
      </c>
      <c r="B44">
        <v>1</v>
      </c>
      <c r="C44" t="s">
        <v>270</v>
      </c>
      <c r="D44" t="s">
        <v>270</v>
      </c>
      <c r="E44" t="s">
        <v>270</v>
      </c>
      <c r="F44">
        <v>1</v>
      </c>
    </row>
    <row r="45" spans="1:6" x14ac:dyDescent="0.35">
      <c r="A45" s="1" t="s">
        <v>43</v>
      </c>
      <c r="B45" t="s">
        <v>270</v>
      </c>
      <c r="C45" t="s">
        <v>270</v>
      </c>
      <c r="D45" t="s">
        <v>270</v>
      </c>
      <c r="E45" t="s">
        <v>270</v>
      </c>
      <c r="F45">
        <v>1</v>
      </c>
    </row>
    <row r="46" spans="1:6" x14ac:dyDescent="0.35">
      <c r="A46" s="1" t="s">
        <v>44</v>
      </c>
      <c r="B46" t="s">
        <v>270</v>
      </c>
      <c r="C46" t="s">
        <v>270</v>
      </c>
      <c r="D46">
        <v>1</v>
      </c>
      <c r="E46" t="s">
        <v>270</v>
      </c>
      <c r="F46">
        <v>1</v>
      </c>
    </row>
    <row r="47" spans="1:6" x14ac:dyDescent="0.35">
      <c r="A47" s="1" t="s">
        <v>45</v>
      </c>
      <c r="B47" t="s">
        <v>270</v>
      </c>
      <c r="C47" t="s">
        <v>270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B48" t="s">
        <v>270</v>
      </c>
      <c r="C48" t="s">
        <v>270</v>
      </c>
      <c r="D48" t="s">
        <v>270</v>
      </c>
      <c r="E48" t="s">
        <v>270</v>
      </c>
      <c r="F48" t="s">
        <v>270</v>
      </c>
    </row>
    <row r="49" spans="1:6" x14ac:dyDescent="0.35">
      <c r="A49" s="1" t="s">
        <v>47</v>
      </c>
      <c r="B49" t="s">
        <v>270</v>
      </c>
      <c r="C49" t="s">
        <v>270</v>
      </c>
      <c r="D49" t="s">
        <v>270</v>
      </c>
      <c r="E49" t="s">
        <v>270</v>
      </c>
      <c r="F49">
        <v>1</v>
      </c>
    </row>
    <row r="50" spans="1:6" x14ac:dyDescent="0.35">
      <c r="A50" s="1" t="s">
        <v>48</v>
      </c>
      <c r="B50">
        <v>1</v>
      </c>
      <c r="C50">
        <v>1</v>
      </c>
      <c r="D50" t="s">
        <v>270</v>
      </c>
      <c r="E50">
        <v>1</v>
      </c>
      <c r="F50" t="s">
        <v>270</v>
      </c>
    </row>
    <row r="51" spans="1:6" x14ac:dyDescent="0.35">
      <c r="A51" s="1" t="s">
        <v>49</v>
      </c>
      <c r="B51">
        <v>1</v>
      </c>
      <c r="C51">
        <v>1</v>
      </c>
      <c r="D51">
        <v>1</v>
      </c>
      <c r="E51">
        <v>1</v>
      </c>
      <c r="F51" t="s">
        <v>270</v>
      </c>
    </row>
    <row r="52" spans="1:6" x14ac:dyDescent="0.35">
      <c r="A52" s="1" t="s">
        <v>50</v>
      </c>
      <c r="B52">
        <v>1</v>
      </c>
      <c r="C52" t="s">
        <v>270</v>
      </c>
      <c r="D52" t="s">
        <v>270</v>
      </c>
      <c r="E52">
        <v>1</v>
      </c>
      <c r="F52">
        <v>1</v>
      </c>
    </row>
    <row r="53" spans="1:6" x14ac:dyDescent="0.35">
      <c r="A53" s="1" t="s">
        <v>51</v>
      </c>
      <c r="B53">
        <v>1</v>
      </c>
      <c r="C53" t="s">
        <v>270</v>
      </c>
      <c r="D53">
        <v>1</v>
      </c>
      <c r="E53" t="s">
        <v>270</v>
      </c>
      <c r="F53" t="s">
        <v>270</v>
      </c>
    </row>
    <row r="54" spans="1:6" x14ac:dyDescent="0.35">
      <c r="A54" s="1" t="s">
        <v>52</v>
      </c>
      <c r="B54">
        <v>1</v>
      </c>
      <c r="C54">
        <v>1</v>
      </c>
      <c r="D54" t="s">
        <v>270</v>
      </c>
      <c r="E54">
        <v>1</v>
      </c>
      <c r="F54">
        <v>1</v>
      </c>
    </row>
    <row r="55" spans="1:6" x14ac:dyDescent="0.35">
      <c r="A55" s="1" t="s">
        <v>53</v>
      </c>
      <c r="B55" t="s">
        <v>270</v>
      </c>
      <c r="C55" t="s">
        <v>270</v>
      </c>
      <c r="D55" t="s">
        <v>270</v>
      </c>
      <c r="E55">
        <v>1</v>
      </c>
      <c r="F55" t="s">
        <v>270</v>
      </c>
    </row>
    <row r="56" spans="1:6" x14ac:dyDescent="0.35">
      <c r="A56" s="1" t="s">
        <v>54</v>
      </c>
      <c r="B56" t="s">
        <v>270</v>
      </c>
      <c r="C56" t="s">
        <v>270</v>
      </c>
      <c r="D56" t="s">
        <v>270</v>
      </c>
      <c r="E56">
        <v>1</v>
      </c>
      <c r="F56" t="s">
        <v>270</v>
      </c>
    </row>
    <row r="57" spans="1:6" x14ac:dyDescent="0.35">
      <c r="A57" s="1" t="s">
        <v>55</v>
      </c>
      <c r="B57" t="s">
        <v>270</v>
      </c>
      <c r="C57" t="s">
        <v>270</v>
      </c>
      <c r="D57">
        <v>1</v>
      </c>
      <c r="E57">
        <v>1</v>
      </c>
      <c r="F57" t="s">
        <v>270</v>
      </c>
    </row>
    <row r="58" spans="1:6" x14ac:dyDescent="0.35">
      <c r="A58" s="1" t="s">
        <v>56</v>
      </c>
      <c r="B58" t="s">
        <v>270</v>
      </c>
      <c r="C58">
        <v>1</v>
      </c>
      <c r="D58" t="s">
        <v>270</v>
      </c>
      <c r="E58" t="s">
        <v>270</v>
      </c>
      <c r="F58">
        <v>1</v>
      </c>
    </row>
    <row r="59" spans="1:6" x14ac:dyDescent="0.35">
      <c r="A59" s="1" t="s">
        <v>57</v>
      </c>
      <c r="B59">
        <v>1</v>
      </c>
      <c r="C59" t="s">
        <v>270</v>
      </c>
      <c r="D59" t="s">
        <v>270</v>
      </c>
      <c r="E59" t="s">
        <v>270</v>
      </c>
      <c r="F59" t="s">
        <v>270</v>
      </c>
    </row>
    <row r="60" spans="1:6" x14ac:dyDescent="0.35">
      <c r="A60" s="1" t="s">
        <v>58</v>
      </c>
      <c r="B60">
        <v>1</v>
      </c>
      <c r="C60" t="s">
        <v>270</v>
      </c>
      <c r="D60" t="s">
        <v>270</v>
      </c>
      <c r="E60">
        <v>1</v>
      </c>
      <c r="F60">
        <v>1</v>
      </c>
    </row>
    <row r="61" spans="1:6" x14ac:dyDescent="0.35">
      <c r="A61" s="1" t="s">
        <v>59</v>
      </c>
      <c r="B61">
        <v>1</v>
      </c>
      <c r="C61">
        <v>1</v>
      </c>
      <c r="D61">
        <v>1</v>
      </c>
      <c r="E61">
        <v>1</v>
      </c>
      <c r="F61">
        <v>1</v>
      </c>
    </row>
    <row r="62" spans="1:6" x14ac:dyDescent="0.35">
      <c r="A62" s="1" t="s">
        <v>60</v>
      </c>
      <c r="B62" t="s">
        <v>270</v>
      </c>
      <c r="C62">
        <v>1</v>
      </c>
      <c r="D62" t="s">
        <v>270</v>
      </c>
      <c r="E62" t="s">
        <v>270</v>
      </c>
      <c r="F62" t="s">
        <v>270</v>
      </c>
    </row>
    <row r="63" spans="1:6" x14ac:dyDescent="0.35">
      <c r="A63" s="1" t="s">
        <v>61</v>
      </c>
      <c r="B63" t="s">
        <v>270</v>
      </c>
      <c r="C63">
        <v>1</v>
      </c>
      <c r="D63" t="s">
        <v>270</v>
      </c>
      <c r="E63" t="s">
        <v>270</v>
      </c>
      <c r="F63">
        <v>1</v>
      </c>
    </row>
    <row r="64" spans="1:6" x14ac:dyDescent="0.35">
      <c r="A64" s="1" t="s">
        <v>62</v>
      </c>
      <c r="B64" t="s">
        <v>270</v>
      </c>
      <c r="C64">
        <v>1</v>
      </c>
      <c r="D64" t="s">
        <v>270</v>
      </c>
      <c r="E64" t="s">
        <v>270</v>
      </c>
      <c r="F64">
        <v>1</v>
      </c>
    </row>
    <row r="65" spans="1:6" x14ac:dyDescent="0.35">
      <c r="A65" s="1" t="s">
        <v>63</v>
      </c>
      <c r="B65" t="s">
        <v>270</v>
      </c>
      <c r="C65">
        <v>1</v>
      </c>
      <c r="D65">
        <v>1</v>
      </c>
      <c r="E65" t="s">
        <v>270</v>
      </c>
      <c r="F65" t="s">
        <v>270</v>
      </c>
    </row>
    <row r="66" spans="1:6" x14ac:dyDescent="0.35">
      <c r="A66" s="1" t="s">
        <v>64</v>
      </c>
      <c r="B66">
        <v>1</v>
      </c>
      <c r="C66">
        <v>1</v>
      </c>
      <c r="D66">
        <v>1</v>
      </c>
      <c r="E66" t="s">
        <v>270</v>
      </c>
      <c r="F66">
        <v>1</v>
      </c>
    </row>
    <row r="67" spans="1:6" x14ac:dyDescent="0.35">
      <c r="A67" s="1" t="s">
        <v>65</v>
      </c>
      <c r="B67" t="s">
        <v>270</v>
      </c>
      <c r="C67">
        <v>1</v>
      </c>
      <c r="D67" t="s">
        <v>270</v>
      </c>
      <c r="E67" t="s">
        <v>270</v>
      </c>
      <c r="F67" t="s">
        <v>270</v>
      </c>
    </row>
    <row r="68" spans="1:6" x14ac:dyDescent="0.35">
      <c r="A68" s="1" t="s">
        <v>66</v>
      </c>
      <c r="B68">
        <v>1</v>
      </c>
      <c r="C68" t="s">
        <v>270</v>
      </c>
      <c r="D68" t="s">
        <v>270</v>
      </c>
      <c r="E68">
        <v>1</v>
      </c>
      <c r="F68">
        <v>1</v>
      </c>
    </row>
    <row r="69" spans="1:6" x14ac:dyDescent="0.35">
      <c r="A69" s="1" t="s">
        <v>67</v>
      </c>
      <c r="B69">
        <v>1</v>
      </c>
      <c r="C69" t="s">
        <v>270</v>
      </c>
      <c r="D69">
        <v>1</v>
      </c>
      <c r="E69">
        <v>1</v>
      </c>
      <c r="F69">
        <v>1</v>
      </c>
    </row>
    <row r="70" spans="1:6" x14ac:dyDescent="0.35">
      <c r="A70" s="1" t="s">
        <v>68</v>
      </c>
      <c r="B70" t="s">
        <v>270</v>
      </c>
      <c r="C70">
        <v>1</v>
      </c>
      <c r="D70">
        <v>1</v>
      </c>
      <c r="E70">
        <v>1</v>
      </c>
      <c r="F70" t="s">
        <v>270</v>
      </c>
    </row>
    <row r="71" spans="1:6" x14ac:dyDescent="0.35">
      <c r="A71" s="1" t="s">
        <v>69</v>
      </c>
      <c r="B71" t="s">
        <v>270</v>
      </c>
      <c r="C71" t="s">
        <v>270</v>
      </c>
      <c r="D71">
        <v>1</v>
      </c>
      <c r="E71" t="s">
        <v>270</v>
      </c>
      <c r="F71">
        <v>1</v>
      </c>
    </row>
    <row r="72" spans="1:6" x14ac:dyDescent="0.35">
      <c r="A72" s="1" t="s">
        <v>70</v>
      </c>
      <c r="B72" t="s">
        <v>270</v>
      </c>
      <c r="C72" t="s">
        <v>270</v>
      </c>
      <c r="D72" t="s">
        <v>270</v>
      </c>
      <c r="E72">
        <v>1</v>
      </c>
      <c r="F72" t="s">
        <v>270</v>
      </c>
    </row>
    <row r="73" spans="1:6" x14ac:dyDescent="0.35">
      <c r="A73" s="1" t="s">
        <v>71</v>
      </c>
      <c r="B73" t="s">
        <v>270</v>
      </c>
      <c r="C73" t="s">
        <v>270</v>
      </c>
      <c r="D73">
        <v>1</v>
      </c>
      <c r="E73" t="s">
        <v>270</v>
      </c>
      <c r="F73">
        <v>1</v>
      </c>
    </row>
    <row r="74" spans="1:6" x14ac:dyDescent="0.35">
      <c r="A74" s="1" t="s">
        <v>72</v>
      </c>
      <c r="B74" t="s">
        <v>270</v>
      </c>
      <c r="C74" t="s">
        <v>270</v>
      </c>
      <c r="D74" t="s">
        <v>270</v>
      </c>
      <c r="E74">
        <v>1</v>
      </c>
      <c r="F74">
        <v>1</v>
      </c>
    </row>
    <row r="75" spans="1:6" x14ac:dyDescent="0.35">
      <c r="A75" s="1" t="s">
        <v>73</v>
      </c>
      <c r="B75" t="s">
        <v>270</v>
      </c>
      <c r="C75" t="s">
        <v>270</v>
      </c>
      <c r="D75" t="s">
        <v>270</v>
      </c>
      <c r="E75">
        <v>1</v>
      </c>
      <c r="F75" t="s">
        <v>270</v>
      </c>
    </row>
    <row r="76" spans="1:6" x14ac:dyDescent="0.35">
      <c r="A76" s="1" t="s">
        <v>74</v>
      </c>
      <c r="B76">
        <v>1</v>
      </c>
      <c r="C76" t="s">
        <v>270</v>
      </c>
      <c r="D76">
        <v>1</v>
      </c>
      <c r="E76">
        <v>1</v>
      </c>
      <c r="F76" t="s">
        <v>270</v>
      </c>
    </row>
    <row r="77" spans="1:6" x14ac:dyDescent="0.35">
      <c r="A77" s="1" t="s">
        <v>75</v>
      </c>
      <c r="B77">
        <v>1</v>
      </c>
      <c r="C77" t="s">
        <v>270</v>
      </c>
      <c r="D77" t="s">
        <v>270</v>
      </c>
      <c r="E77">
        <v>1</v>
      </c>
      <c r="F77">
        <v>1</v>
      </c>
    </row>
    <row r="78" spans="1:6" x14ac:dyDescent="0.35">
      <c r="A78" s="1" t="s">
        <v>76</v>
      </c>
      <c r="B78">
        <v>1</v>
      </c>
      <c r="C78" t="s">
        <v>270</v>
      </c>
      <c r="D78" t="s">
        <v>270</v>
      </c>
      <c r="E78">
        <v>1</v>
      </c>
      <c r="F78">
        <v>1</v>
      </c>
    </row>
    <row r="79" spans="1:6" x14ac:dyDescent="0.35">
      <c r="A79" s="1" t="s">
        <v>77</v>
      </c>
      <c r="B79" t="s">
        <v>270</v>
      </c>
      <c r="C79" t="s">
        <v>270</v>
      </c>
      <c r="D79" t="s">
        <v>270</v>
      </c>
      <c r="E79" t="s">
        <v>270</v>
      </c>
      <c r="F79" t="s">
        <v>270</v>
      </c>
    </row>
    <row r="80" spans="1:6" x14ac:dyDescent="0.35">
      <c r="A80" s="1" t="s">
        <v>78</v>
      </c>
      <c r="B80" t="s">
        <v>270</v>
      </c>
      <c r="C80">
        <v>1</v>
      </c>
      <c r="D80">
        <v>1</v>
      </c>
      <c r="E80" t="s">
        <v>270</v>
      </c>
      <c r="F80" t="s">
        <v>270</v>
      </c>
    </row>
    <row r="81" spans="1:6" x14ac:dyDescent="0.35">
      <c r="A81" s="1" t="s">
        <v>79</v>
      </c>
      <c r="B81" t="s">
        <v>270</v>
      </c>
      <c r="C81">
        <v>1</v>
      </c>
      <c r="D81">
        <v>1</v>
      </c>
      <c r="E81">
        <v>1</v>
      </c>
      <c r="F81">
        <v>1</v>
      </c>
    </row>
    <row r="82" spans="1:6" x14ac:dyDescent="0.35">
      <c r="A82" s="1" t="s">
        <v>80</v>
      </c>
      <c r="B82" t="s">
        <v>270</v>
      </c>
      <c r="C82">
        <v>1</v>
      </c>
      <c r="D82" t="s">
        <v>270</v>
      </c>
      <c r="E82" t="s">
        <v>270</v>
      </c>
      <c r="F82">
        <v>1</v>
      </c>
    </row>
    <row r="83" spans="1:6" x14ac:dyDescent="0.35">
      <c r="A83" s="1" t="s">
        <v>81</v>
      </c>
      <c r="B83">
        <v>1</v>
      </c>
      <c r="C83" t="s">
        <v>270</v>
      </c>
      <c r="D83">
        <v>1</v>
      </c>
      <c r="E83">
        <v>1</v>
      </c>
      <c r="F83">
        <v>1</v>
      </c>
    </row>
    <row r="84" spans="1:6" x14ac:dyDescent="0.35">
      <c r="A84" s="1" t="s">
        <v>82</v>
      </c>
      <c r="B84" t="s">
        <v>270</v>
      </c>
      <c r="C84" t="s">
        <v>270</v>
      </c>
      <c r="D84">
        <v>1</v>
      </c>
      <c r="E84">
        <v>1</v>
      </c>
      <c r="F84" t="s">
        <v>270</v>
      </c>
    </row>
    <row r="85" spans="1:6" x14ac:dyDescent="0.35">
      <c r="A85" s="1" t="s">
        <v>83</v>
      </c>
      <c r="B85">
        <v>1</v>
      </c>
      <c r="C85" t="s">
        <v>270</v>
      </c>
      <c r="D85" t="s">
        <v>270</v>
      </c>
      <c r="E85" t="s">
        <v>270</v>
      </c>
      <c r="F85">
        <v>1</v>
      </c>
    </row>
    <row r="86" spans="1:6" x14ac:dyDescent="0.35">
      <c r="A86" s="1" t="s">
        <v>84</v>
      </c>
      <c r="B86" t="s">
        <v>270</v>
      </c>
      <c r="C86" t="s">
        <v>270</v>
      </c>
      <c r="D86" t="s">
        <v>270</v>
      </c>
      <c r="E86">
        <v>1</v>
      </c>
      <c r="F86" t="s">
        <v>270</v>
      </c>
    </row>
    <row r="87" spans="1:6" x14ac:dyDescent="0.35">
      <c r="A87" s="1" t="s">
        <v>85</v>
      </c>
      <c r="B87" t="s">
        <v>270</v>
      </c>
      <c r="C87" t="s">
        <v>270</v>
      </c>
      <c r="D87">
        <v>1</v>
      </c>
      <c r="E87">
        <v>1</v>
      </c>
      <c r="F87" t="s">
        <v>270</v>
      </c>
    </row>
    <row r="88" spans="1:6" x14ac:dyDescent="0.35">
      <c r="A88" s="1" t="s">
        <v>86</v>
      </c>
      <c r="B88">
        <v>1</v>
      </c>
      <c r="C88" t="s">
        <v>270</v>
      </c>
      <c r="D88" t="s">
        <v>270</v>
      </c>
      <c r="E88">
        <v>1</v>
      </c>
      <c r="F88" t="s">
        <v>270</v>
      </c>
    </row>
    <row r="89" spans="1:6" x14ac:dyDescent="0.35">
      <c r="A89" s="1" t="s">
        <v>87</v>
      </c>
      <c r="B89">
        <v>1</v>
      </c>
      <c r="C89">
        <v>1</v>
      </c>
      <c r="D89" t="s">
        <v>270</v>
      </c>
      <c r="E89">
        <v>1</v>
      </c>
      <c r="F89" t="s">
        <v>270</v>
      </c>
    </row>
    <row r="90" spans="1:6" x14ac:dyDescent="0.35">
      <c r="A90" s="1" t="s">
        <v>88</v>
      </c>
      <c r="B90">
        <v>1</v>
      </c>
      <c r="C90">
        <v>1</v>
      </c>
      <c r="D90" t="s">
        <v>270</v>
      </c>
      <c r="E90">
        <v>1</v>
      </c>
      <c r="F90">
        <v>1</v>
      </c>
    </row>
    <row r="91" spans="1:6" x14ac:dyDescent="0.35">
      <c r="A91" s="1" t="s">
        <v>89</v>
      </c>
      <c r="B91" t="s">
        <v>270</v>
      </c>
      <c r="C91" t="s">
        <v>270</v>
      </c>
      <c r="D91" t="s">
        <v>270</v>
      </c>
      <c r="E91" t="s">
        <v>270</v>
      </c>
      <c r="F91" t="s">
        <v>270</v>
      </c>
    </row>
    <row r="92" spans="1:6" x14ac:dyDescent="0.35">
      <c r="A92" s="1" t="s">
        <v>90</v>
      </c>
      <c r="B92" t="s">
        <v>270</v>
      </c>
      <c r="C92">
        <v>1</v>
      </c>
      <c r="D92">
        <v>1</v>
      </c>
      <c r="E92">
        <v>1</v>
      </c>
      <c r="F92" t="s">
        <v>270</v>
      </c>
    </row>
    <row r="93" spans="1:6" x14ac:dyDescent="0.35">
      <c r="A93" s="1" t="s">
        <v>91</v>
      </c>
      <c r="B93">
        <v>1</v>
      </c>
      <c r="C93">
        <v>1</v>
      </c>
      <c r="D93" t="s">
        <v>270</v>
      </c>
      <c r="E93" t="s">
        <v>270</v>
      </c>
      <c r="F93">
        <v>1</v>
      </c>
    </row>
    <row r="94" spans="1:6" x14ac:dyDescent="0.35">
      <c r="A94" s="1" t="s">
        <v>92</v>
      </c>
      <c r="B94" t="s">
        <v>270</v>
      </c>
      <c r="C94" t="s">
        <v>270</v>
      </c>
      <c r="D94">
        <v>1</v>
      </c>
      <c r="E94" t="s">
        <v>270</v>
      </c>
      <c r="F94" t="s">
        <v>270</v>
      </c>
    </row>
    <row r="95" spans="1:6" x14ac:dyDescent="0.35">
      <c r="A95" s="1" t="s">
        <v>93</v>
      </c>
      <c r="B95" t="s">
        <v>270</v>
      </c>
      <c r="C95">
        <v>1</v>
      </c>
      <c r="D95" t="s">
        <v>270</v>
      </c>
      <c r="E95">
        <v>1</v>
      </c>
      <c r="F95" t="s">
        <v>270</v>
      </c>
    </row>
    <row r="96" spans="1:6" x14ac:dyDescent="0.35">
      <c r="A96" s="1" t="s">
        <v>94</v>
      </c>
      <c r="B96" t="s">
        <v>270</v>
      </c>
      <c r="C96" t="s">
        <v>270</v>
      </c>
      <c r="D96" t="s">
        <v>270</v>
      </c>
      <c r="E96" t="s">
        <v>270</v>
      </c>
      <c r="F96">
        <v>1</v>
      </c>
    </row>
    <row r="97" spans="1:6" x14ac:dyDescent="0.35">
      <c r="A97" s="1" t="s">
        <v>95</v>
      </c>
      <c r="B97">
        <v>1</v>
      </c>
      <c r="C97">
        <v>1</v>
      </c>
      <c r="D97">
        <v>1</v>
      </c>
      <c r="E97">
        <v>1</v>
      </c>
      <c r="F97" t="s">
        <v>270</v>
      </c>
    </row>
    <row r="98" spans="1:6" x14ac:dyDescent="0.35">
      <c r="A98" s="1" t="s">
        <v>96</v>
      </c>
      <c r="B98" t="s">
        <v>270</v>
      </c>
      <c r="C98" t="s">
        <v>270</v>
      </c>
      <c r="D98">
        <v>1</v>
      </c>
      <c r="E98" t="s">
        <v>270</v>
      </c>
      <c r="F98" t="s">
        <v>270</v>
      </c>
    </row>
    <row r="99" spans="1:6" x14ac:dyDescent="0.35">
      <c r="A99" s="1" t="s">
        <v>97</v>
      </c>
      <c r="B99" t="s">
        <v>270</v>
      </c>
      <c r="C99" t="s">
        <v>270</v>
      </c>
      <c r="D99" t="s">
        <v>270</v>
      </c>
      <c r="E99">
        <v>1</v>
      </c>
      <c r="F99" t="s">
        <v>270</v>
      </c>
    </row>
    <row r="100" spans="1:6" x14ac:dyDescent="0.35">
      <c r="A100" s="1" t="s">
        <v>98</v>
      </c>
      <c r="B100">
        <v>1</v>
      </c>
      <c r="C100">
        <v>1</v>
      </c>
      <c r="D100">
        <v>1</v>
      </c>
      <c r="E100">
        <v>1</v>
      </c>
      <c r="F100" t="s">
        <v>270</v>
      </c>
    </row>
    <row r="101" spans="1:6" x14ac:dyDescent="0.35">
      <c r="A101" s="1" t="s">
        <v>99</v>
      </c>
      <c r="B101">
        <v>1</v>
      </c>
      <c r="C101">
        <v>1</v>
      </c>
      <c r="D101">
        <v>1</v>
      </c>
      <c r="E101">
        <v>1</v>
      </c>
      <c r="F101">
        <v>1</v>
      </c>
    </row>
    <row r="102" spans="1:6" x14ac:dyDescent="0.35">
      <c r="A102" s="1" t="s">
        <v>100</v>
      </c>
      <c r="B102" t="s">
        <v>270</v>
      </c>
      <c r="C102">
        <v>1</v>
      </c>
      <c r="D102" t="s">
        <v>270</v>
      </c>
      <c r="E102">
        <v>1</v>
      </c>
      <c r="F102" t="s">
        <v>270</v>
      </c>
    </row>
    <row r="103" spans="1:6" x14ac:dyDescent="0.35">
      <c r="A103" s="1" t="s">
        <v>101</v>
      </c>
      <c r="B103">
        <v>1</v>
      </c>
      <c r="C103">
        <v>1</v>
      </c>
      <c r="D103">
        <v>1</v>
      </c>
      <c r="E103">
        <v>1</v>
      </c>
      <c r="F103">
        <v>1</v>
      </c>
    </row>
    <row r="104" spans="1:6" x14ac:dyDescent="0.35">
      <c r="A104" s="1" t="s">
        <v>102</v>
      </c>
      <c r="B104" t="s">
        <v>270</v>
      </c>
      <c r="C104">
        <v>1</v>
      </c>
      <c r="D104">
        <v>1</v>
      </c>
      <c r="E104">
        <v>1</v>
      </c>
      <c r="F104">
        <v>1</v>
      </c>
    </row>
    <row r="105" spans="1:6" x14ac:dyDescent="0.35">
      <c r="A105" s="1" t="s">
        <v>103</v>
      </c>
      <c r="B105" t="s">
        <v>270</v>
      </c>
      <c r="C105">
        <v>1</v>
      </c>
      <c r="D105" t="s">
        <v>270</v>
      </c>
      <c r="E105">
        <v>1</v>
      </c>
      <c r="F105">
        <v>1</v>
      </c>
    </row>
    <row r="106" spans="1:6" x14ac:dyDescent="0.35">
      <c r="A106" s="1" t="s">
        <v>104</v>
      </c>
      <c r="B106" t="s">
        <v>270</v>
      </c>
      <c r="C106" t="s">
        <v>270</v>
      </c>
      <c r="D106">
        <v>1</v>
      </c>
      <c r="E106">
        <v>1</v>
      </c>
      <c r="F106">
        <v>1</v>
      </c>
    </row>
    <row r="107" spans="1:6" x14ac:dyDescent="0.35">
      <c r="A107" s="1" t="s">
        <v>105</v>
      </c>
      <c r="B107" t="s">
        <v>270</v>
      </c>
      <c r="C107" t="s">
        <v>270</v>
      </c>
      <c r="D107" t="s">
        <v>270</v>
      </c>
      <c r="E107">
        <v>1</v>
      </c>
      <c r="F107">
        <v>1</v>
      </c>
    </row>
    <row r="108" spans="1:6" x14ac:dyDescent="0.35">
      <c r="A108" s="1" t="s">
        <v>106</v>
      </c>
      <c r="B108" t="s">
        <v>270</v>
      </c>
      <c r="C108">
        <v>1</v>
      </c>
      <c r="D108" t="s">
        <v>270</v>
      </c>
      <c r="E108" t="s">
        <v>270</v>
      </c>
      <c r="F108" t="s">
        <v>270</v>
      </c>
    </row>
    <row r="109" spans="1:6" x14ac:dyDescent="0.35">
      <c r="A109" s="1" t="s">
        <v>107</v>
      </c>
      <c r="B109" t="s">
        <v>270</v>
      </c>
      <c r="C109">
        <v>1</v>
      </c>
      <c r="D109" t="s">
        <v>270</v>
      </c>
      <c r="E109">
        <v>1</v>
      </c>
      <c r="F109" t="s">
        <v>270</v>
      </c>
    </row>
    <row r="110" spans="1:6" x14ac:dyDescent="0.35">
      <c r="A110" s="1" t="s">
        <v>108</v>
      </c>
      <c r="B110">
        <v>1</v>
      </c>
      <c r="C110" t="s">
        <v>270</v>
      </c>
      <c r="D110">
        <v>1</v>
      </c>
      <c r="E110">
        <v>1</v>
      </c>
      <c r="F110">
        <v>1</v>
      </c>
    </row>
    <row r="111" spans="1:6" x14ac:dyDescent="0.35">
      <c r="A111" s="1" t="s">
        <v>109</v>
      </c>
      <c r="B111">
        <v>1</v>
      </c>
      <c r="C111" t="s">
        <v>270</v>
      </c>
      <c r="D111" t="s">
        <v>270</v>
      </c>
      <c r="E111" t="s">
        <v>270</v>
      </c>
      <c r="F111">
        <v>1</v>
      </c>
    </row>
    <row r="112" spans="1:6" x14ac:dyDescent="0.35">
      <c r="A112" s="1" t="s">
        <v>110</v>
      </c>
      <c r="B112" t="s">
        <v>270</v>
      </c>
      <c r="C112" t="s">
        <v>270</v>
      </c>
      <c r="D112">
        <v>1</v>
      </c>
      <c r="E112" t="s">
        <v>270</v>
      </c>
      <c r="F112" t="s">
        <v>270</v>
      </c>
    </row>
    <row r="113" spans="1:6" x14ac:dyDescent="0.35">
      <c r="A113" s="1" t="s">
        <v>111</v>
      </c>
      <c r="B113">
        <v>1</v>
      </c>
      <c r="C113" t="s">
        <v>270</v>
      </c>
      <c r="D113" t="s">
        <v>270</v>
      </c>
      <c r="E113">
        <v>1</v>
      </c>
      <c r="F113" t="s">
        <v>270</v>
      </c>
    </row>
    <row r="114" spans="1:6" x14ac:dyDescent="0.35">
      <c r="A114" s="1" t="s">
        <v>112</v>
      </c>
      <c r="B114" t="s">
        <v>270</v>
      </c>
      <c r="C114">
        <v>1</v>
      </c>
      <c r="D114" t="s">
        <v>270</v>
      </c>
      <c r="E114">
        <v>1</v>
      </c>
      <c r="F114">
        <v>1</v>
      </c>
    </row>
    <row r="115" spans="1:6" x14ac:dyDescent="0.35">
      <c r="A115" s="1" t="s">
        <v>113</v>
      </c>
      <c r="B115">
        <v>1</v>
      </c>
      <c r="C115" t="s">
        <v>270</v>
      </c>
      <c r="D115" t="s">
        <v>270</v>
      </c>
      <c r="E115" t="s">
        <v>270</v>
      </c>
      <c r="F115" t="s">
        <v>270</v>
      </c>
    </row>
    <row r="116" spans="1:6" x14ac:dyDescent="0.35">
      <c r="A116" s="1" t="s">
        <v>114</v>
      </c>
      <c r="B116" t="s">
        <v>270</v>
      </c>
      <c r="C116" t="s">
        <v>270</v>
      </c>
      <c r="D116">
        <v>1</v>
      </c>
      <c r="E116" t="s">
        <v>270</v>
      </c>
      <c r="F116">
        <v>1</v>
      </c>
    </row>
    <row r="117" spans="1:6" x14ac:dyDescent="0.35">
      <c r="A117" s="1" t="s">
        <v>115</v>
      </c>
      <c r="B117" t="s">
        <v>270</v>
      </c>
      <c r="C117" t="s">
        <v>270</v>
      </c>
      <c r="D117" t="s">
        <v>270</v>
      </c>
      <c r="E117">
        <v>1</v>
      </c>
      <c r="F117">
        <v>1</v>
      </c>
    </row>
    <row r="118" spans="1:6" x14ac:dyDescent="0.35">
      <c r="A118" s="1" t="s">
        <v>116</v>
      </c>
      <c r="B118" t="s">
        <v>270</v>
      </c>
      <c r="C118" t="s">
        <v>270</v>
      </c>
      <c r="D118" t="s">
        <v>270</v>
      </c>
      <c r="E118">
        <v>1</v>
      </c>
      <c r="F118" t="s">
        <v>270</v>
      </c>
    </row>
    <row r="119" spans="1:6" x14ac:dyDescent="0.35">
      <c r="A119" s="1" t="s">
        <v>117</v>
      </c>
      <c r="B119">
        <v>1</v>
      </c>
      <c r="C119">
        <v>1</v>
      </c>
      <c r="D119" t="s">
        <v>270</v>
      </c>
      <c r="E119" t="s">
        <v>270</v>
      </c>
      <c r="F119">
        <v>1</v>
      </c>
    </row>
    <row r="120" spans="1:6" x14ac:dyDescent="0.35">
      <c r="A120" s="1" t="s">
        <v>118</v>
      </c>
      <c r="B120" t="s">
        <v>270</v>
      </c>
      <c r="C120" t="s">
        <v>270</v>
      </c>
      <c r="D120" t="s">
        <v>270</v>
      </c>
      <c r="E120" t="s">
        <v>270</v>
      </c>
      <c r="F120">
        <v>1</v>
      </c>
    </row>
    <row r="121" spans="1:6" x14ac:dyDescent="0.35">
      <c r="A121" s="1" t="s">
        <v>119</v>
      </c>
      <c r="B121">
        <v>1</v>
      </c>
      <c r="C121">
        <v>1</v>
      </c>
      <c r="D121">
        <v>1</v>
      </c>
      <c r="E121" t="s">
        <v>270</v>
      </c>
      <c r="F121" t="s">
        <v>270</v>
      </c>
    </row>
    <row r="122" spans="1:6" x14ac:dyDescent="0.35">
      <c r="A122" s="1" t="s">
        <v>120</v>
      </c>
      <c r="B122">
        <v>1</v>
      </c>
      <c r="C122" t="s">
        <v>270</v>
      </c>
      <c r="D122">
        <v>1</v>
      </c>
      <c r="E122">
        <v>1</v>
      </c>
      <c r="F122" t="s">
        <v>270</v>
      </c>
    </row>
    <row r="123" spans="1:6" x14ac:dyDescent="0.35">
      <c r="A123" s="1" t="s">
        <v>121</v>
      </c>
      <c r="B123">
        <v>1</v>
      </c>
      <c r="C123">
        <v>1</v>
      </c>
      <c r="D123">
        <v>1</v>
      </c>
      <c r="E123">
        <v>1</v>
      </c>
      <c r="F123">
        <v>1</v>
      </c>
    </row>
    <row r="124" spans="1:6" x14ac:dyDescent="0.35">
      <c r="A124" s="1" t="s">
        <v>122</v>
      </c>
      <c r="B124" t="s">
        <v>270</v>
      </c>
      <c r="C124">
        <v>1</v>
      </c>
      <c r="D124">
        <v>1</v>
      </c>
      <c r="E124">
        <v>1</v>
      </c>
      <c r="F124" t="s">
        <v>270</v>
      </c>
    </row>
    <row r="125" spans="1:6" x14ac:dyDescent="0.35">
      <c r="A125" s="1" t="s">
        <v>123</v>
      </c>
      <c r="B125">
        <v>1</v>
      </c>
      <c r="C125" t="s">
        <v>270</v>
      </c>
      <c r="D125" t="s">
        <v>270</v>
      </c>
      <c r="E125" t="s">
        <v>270</v>
      </c>
      <c r="F125">
        <v>1</v>
      </c>
    </row>
    <row r="126" spans="1:6" x14ac:dyDescent="0.35">
      <c r="A126" s="1" t="s">
        <v>124</v>
      </c>
      <c r="B126" t="s">
        <v>270</v>
      </c>
      <c r="C126" t="s">
        <v>270</v>
      </c>
      <c r="D126">
        <v>1</v>
      </c>
      <c r="E126">
        <v>1</v>
      </c>
      <c r="F126" t="s">
        <v>270</v>
      </c>
    </row>
    <row r="127" spans="1:6" x14ac:dyDescent="0.35">
      <c r="A127" s="1" t="s">
        <v>125</v>
      </c>
      <c r="B127" t="s">
        <v>270</v>
      </c>
      <c r="C127" t="s">
        <v>270</v>
      </c>
      <c r="D127">
        <v>1</v>
      </c>
      <c r="E127">
        <v>1</v>
      </c>
      <c r="F127" t="s">
        <v>270</v>
      </c>
    </row>
    <row r="128" spans="1:6" x14ac:dyDescent="0.35">
      <c r="A128" s="1" t="s">
        <v>126</v>
      </c>
      <c r="B128" t="s">
        <v>270</v>
      </c>
      <c r="C128" t="s">
        <v>270</v>
      </c>
      <c r="D128">
        <v>1</v>
      </c>
      <c r="E128" t="s">
        <v>270</v>
      </c>
      <c r="F128" t="s">
        <v>270</v>
      </c>
    </row>
    <row r="129" spans="1:6" x14ac:dyDescent="0.35">
      <c r="A129" s="1" t="s">
        <v>127</v>
      </c>
      <c r="B129" t="s">
        <v>270</v>
      </c>
      <c r="C129">
        <v>1</v>
      </c>
      <c r="D129">
        <v>1</v>
      </c>
      <c r="E129">
        <v>1</v>
      </c>
      <c r="F129">
        <v>1</v>
      </c>
    </row>
    <row r="130" spans="1:6" x14ac:dyDescent="0.35">
      <c r="A130" s="1" t="s">
        <v>128</v>
      </c>
      <c r="B130">
        <v>1</v>
      </c>
      <c r="C130" t="s">
        <v>270</v>
      </c>
      <c r="D130" t="s">
        <v>270</v>
      </c>
      <c r="E130" t="s">
        <v>270</v>
      </c>
      <c r="F130" t="s">
        <v>270</v>
      </c>
    </row>
    <row r="131" spans="1:6" x14ac:dyDescent="0.35">
      <c r="A131" s="1" t="s">
        <v>129</v>
      </c>
      <c r="B131" t="s">
        <v>270</v>
      </c>
      <c r="C131">
        <v>1</v>
      </c>
      <c r="D131" t="s">
        <v>270</v>
      </c>
      <c r="E131">
        <v>1</v>
      </c>
      <c r="F131">
        <v>1</v>
      </c>
    </row>
    <row r="132" spans="1:6" x14ac:dyDescent="0.35">
      <c r="A132" s="1" t="s">
        <v>130</v>
      </c>
      <c r="B132">
        <v>1</v>
      </c>
      <c r="C132" t="s">
        <v>270</v>
      </c>
      <c r="D132" t="s">
        <v>270</v>
      </c>
      <c r="E132">
        <v>1</v>
      </c>
      <c r="F132">
        <v>1</v>
      </c>
    </row>
    <row r="133" spans="1:6" x14ac:dyDescent="0.35">
      <c r="A133" s="1" t="s">
        <v>131</v>
      </c>
      <c r="B133">
        <v>1</v>
      </c>
      <c r="C133">
        <v>1</v>
      </c>
      <c r="D133">
        <v>1</v>
      </c>
      <c r="E133" t="s">
        <v>270</v>
      </c>
      <c r="F133" t="s">
        <v>270</v>
      </c>
    </row>
    <row r="134" spans="1:6" x14ac:dyDescent="0.35">
      <c r="A134" s="1" t="s">
        <v>132</v>
      </c>
      <c r="B134">
        <v>1</v>
      </c>
      <c r="C134">
        <v>1</v>
      </c>
      <c r="D134">
        <v>1</v>
      </c>
      <c r="E134" t="s">
        <v>270</v>
      </c>
      <c r="F134">
        <v>1</v>
      </c>
    </row>
    <row r="135" spans="1:6" x14ac:dyDescent="0.35">
      <c r="A135" s="1" t="s">
        <v>133</v>
      </c>
      <c r="B135">
        <v>1</v>
      </c>
      <c r="C135" t="s">
        <v>270</v>
      </c>
      <c r="D135" t="s">
        <v>270</v>
      </c>
      <c r="E135" t="s">
        <v>270</v>
      </c>
      <c r="F135" t="s">
        <v>270</v>
      </c>
    </row>
    <row r="136" spans="1:6" x14ac:dyDescent="0.35">
      <c r="A136" s="1" t="s">
        <v>134</v>
      </c>
      <c r="B136" t="s">
        <v>270</v>
      </c>
      <c r="C136" t="s">
        <v>270</v>
      </c>
      <c r="D136" t="s">
        <v>270</v>
      </c>
      <c r="E136">
        <v>1</v>
      </c>
      <c r="F136">
        <v>1</v>
      </c>
    </row>
    <row r="137" spans="1:6" x14ac:dyDescent="0.35">
      <c r="A137" s="1" t="s">
        <v>135</v>
      </c>
      <c r="B137" t="s">
        <v>270</v>
      </c>
      <c r="C137">
        <v>1</v>
      </c>
      <c r="D137">
        <v>1</v>
      </c>
      <c r="E137" t="s">
        <v>270</v>
      </c>
      <c r="F137">
        <v>1</v>
      </c>
    </row>
    <row r="138" spans="1:6" x14ac:dyDescent="0.35">
      <c r="A138" s="1" t="s">
        <v>136</v>
      </c>
      <c r="B138" t="s">
        <v>270</v>
      </c>
      <c r="C138" t="s">
        <v>270</v>
      </c>
      <c r="D138" t="s">
        <v>270</v>
      </c>
      <c r="E138" t="s">
        <v>270</v>
      </c>
      <c r="F138" t="s">
        <v>270</v>
      </c>
    </row>
    <row r="139" spans="1:6" x14ac:dyDescent="0.35">
      <c r="A139" s="1" t="s">
        <v>137</v>
      </c>
      <c r="B139" t="s">
        <v>270</v>
      </c>
      <c r="C139" t="s">
        <v>270</v>
      </c>
      <c r="D139" t="s">
        <v>270</v>
      </c>
      <c r="E139">
        <v>1</v>
      </c>
      <c r="F139">
        <v>1</v>
      </c>
    </row>
    <row r="140" spans="1:6" x14ac:dyDescent="0.35">
      <c r="A140" s="1" t="s">
        <v>138</v>
      </c>
      <c r="B140" t="s">
        <v>270</v>
      </c>
      <c r="C140" t="s">
        <v>270</v>
      </c>
      <c r="D140">
        <v>1</v>
      </c>
      <c r="E140" t="s">
        <v>270</v>
      </c>
      <c r="F140" t="s">
        <v>270</v>
      </c>
    </row>
    <row r="141" spans="1:6" x14ac:dyDescent="0.35">
      <c r="A141" s="1" t="s">
        <v>139</v>
      </c>
      <c r="B141">
        <v>1</v>
      </c>
      <c r="C141" t="s">
        <v>270</v>
      </c>
      <c r="D141">
        <v>1</v>
      </c>
      <c r="E141">
        <v>1</v>
      </c>
      <c r="F141">
        <v>1</v>
      </c>
    </row>
    <row r="142" spans="1:6" x14ac:dyDescent="0.35">
      <c r="A142" s="1" t="s">
        <v>140</v>
      </c>
      <c r="B142">
        <v>1</v>
      </c>
      <c r="C142" t="s">
        <v>270</v>
      </c>
      <c r="D142" t="s">
        <v>270</v>
      </c>
      <c r="E142" t="s">
        <v>270</v>
      </c>
      <c r="F142" t="s">
        <v>270</v>
      </c>
    </row>
    <row r="143" spans="1:6" x14ac:dyDescent="0.35">
      <c r="A143" s="1" t="s">
        <v>141</v>
      </c>
      <c r="B143" t="s">
        <v>270</v>
      </c>
      <c r="C143" t="s">
        <v>270</v>
      </c>
      <c r="D143" t="s">
        <v>270</v>
      </c>
      <c r="E143">
        <v>1</v>
      </c>
      <c r="F143">
        <v>1</v>
      </c>
    </row>
    <row r="144" spans="1:6" x14ac:dyDescent="0.35">
      <c r="A144" s="1" t="s">
        <v>142</v>
      </c>
      <c r="B144">
        <v>1</v>
      </c>
      <c r="C144" t="s">
        <v>270</v>
      </c>
      <c r="D144">
        <v>1</v>
      </c>
      <c r="E144" t="s">
        <v>270</v>
      </c>
      <c r="F144">
        <v>1</v>
      </c>
    </row>
    <row r="145" spans="1:6" x14ac:dyDescent="0.35">
      <c r="A145" s="1" t="s">
        <v>143</v>
      </c>
      <c r="B145">
        <v>1</v>
      </c>
      <c r="C145" t="s">
        <v>270</v>
      </c>
      <c r="D145">
        <v>1</v>
      </c>
      <c r="E145" t="s">
        <v>270</v>
      </c>
      <c r="F145" t="s">
        <v>270</v>
      </c>
    </row>
    <row r="146" spans="1:6" x14ac:dyDescent="0.35">
      <c r="A146" s="1" t="s">
        <v>144</v>
      </c>
      <c r="B146" t="s">
        <v>270</v>
      </c>
      <c r="C146" t="s">
        <v>270</v>
      </c>
      <c r="D146">
        <v>1</v>
      </c>
      <c r="E146">
        <v>1</v>
      </c>
      <c r="F146" t="s">
        <v>270</v>
      </c>
    </row>
    <row r="147" spans="1:6" x14ac:dyDescent="0.35">
      <c r="A147" s="1" t="s">
        <v>145</v>
      </c>
      <c r="B147">
        <v>1</v>
      </c>
      <c r="C147" t="s">
        <v>270</v>
      </c>
      <c r="D147">
        <v>1</v>
      </c>
      <c r="E147" t="s">
        <v>270</v>
      </c>
      <c r="F147">
        <v>1</v>
      </c>
    </row>
    <row r="148" spans="1:6" x14ac:dyDescent="0.35">
      <c r="A148" s="1" t="s">
        <v>146</v>
      </c>
      <c r="B148">
        <v>1</v>
      </c>
      <c r="C148">
        <v>1</v>
      </c>
      <c r="D148">
        <v>1</v>
      </c>
      <c r="E148">
        <v>1</v>
      </c>
      <c r="F148" t="s">
        <v>270</v>
      </c>
    </row>
    <row r="149" spans="1:6" x14ac:dyDescent="0.35">
      <c r="A149" s="1" t="s">
        <v>147</v>
      </c>
      <c r="B149">
        <v>1</v>
      </c>
      <c r="C149">
        <v>1</v>
      </c>
      <c r="D149">
        <v>1</v>
      </c>
      <c r="E149">
        <v>1</v>
      </c>
      <c r="F149" t="s">
        <v>270</v>
      </c>
    </row>
    <row r="150" spans="1:6" x14ac:dyDescent="0.35">
      <c r="A150" s="1" t="s">
        <v>148</v>
      </c>
      <c r="B150" t="s">
        <v>270</v>
      </c>
      <c r="C150" t="s">
        <v>270</v>
      </c>
      <c r="D150">
        <v>1</v>
      </c>
      <c r="E150" t="s">
        <v>270</v>
      </c>
      <c r="F150">
        <v>1</v>
      </c>
    </row>
    <row r="151" spans="1:6" x14ac:dyDescent="0.35">
      <c r="A151" s="1" t="s">
        <v>149</v>
      </c>
      <c r="B151">
        <v>1</v>
      </c>
      <c r="C151">
        <v>1</v>
      </c>
      <c r="D151" t="s">
        <v>270</v>
      </c>
      <c r="E151" t="s">
        <v>270</v>
      </c>
      <c r="F151">
        <v>1</v>
      </c>
    </row>
    <row r="152" spans="1:6" x14ac:dyDescent="0.35">
      <c r="A152" s="1" t="s">
        <v>150</v>
      </c>
      <c r="B152">
        <v>1</v>
      </c>
      <c r="C152">
        <v>1</v>
      </c>
      <c r="D152" t="s">
        <v>270</v>
      </c>
      <c r="E152">
        <v>1</v>
      </c>
      <c r="F152">
        <v>1</v>
      </c>
    </row>
    <row r="153" spans="1:6" x14ac:dyDescent="0.35">
      <c r="A153" s="1" t="s">
        <v>151</v>
      </c>
      <c r="B153">
        <v>1</v>
      </c>
      <c r="C153">
        <v>1</v>
      </c>
      <c r="D153">
        <v>1</v>
      </c>
      <c r="E153">
        <v>1</v>
      </c>
      <c r="F153">
        <v>1</v>
      </c>
    </row>
    <row r="154" spans="1:6" x14ac:dyDescent="0.35">
      <c r="A154" s="1" t="s">
        <v>152</v>
      </c>
      <c r="B154" t="s">
        <v>270</v>
      </c>
      <c r="C154" t="s">
        <v>270</v>
      </c>
      <c r="D154">
        <v>1</v>
      </c>
      <c r="E154">
        <v>1</v>
      </c>
      <c r="F154">
        <v>1</v>
      </c>
    </row>
    <row r="155" spans="1:6" x14ac:dyDescent="0.35">
      <c r="A155" s="1" t="s">
        <v>153</v>
      </c>
      <c r="B155" t="s">
        <v>270</v>
      </c>
      <c r="C155">
        <v>1</v>
      </c>
      <c r="D155" t="s">
        <v>270</v>
      </c>
      <c r="E155">
        <v>1</v>
      </c>
      <c r="F155">
        <v>1</v>
      </c>
    </row>
    <row r="156" spans="1:6" x14ac:dyDescent="0.35">
      <c r="A156" s="1" t="s">
        <v>154</v>
      </c>
      <c r="B156">
        <v>1</v>
      </c>
      <c r="C156">
        <v>1</v>
      </c>
      <c r="D156">
        <v>1</v>
      </c>
      <c r="E156" t="s">
        <v>270</v>
      </c>
      <c r="F156">
        <v>1</v>
      </c>
    </row>
    <row r="157" spans="1:6" x14ac:dyDescent="0.35">
      <c r="A157" s="1" t="s">
        <v>155</v>
      </c>
      <c r="B157" t="s">
        <v>270</v>
      </c>
      <c r="C157" t="s">
        <v>270</v>
      </c>
      <c r="D157">
        <v>1</v>
      </c>
      <c r="E157">
        <v>1</v>
      </c>
      <c r="F157" t="s">
        <v>270</v>
      </c>
    </row>
    <row r="158" spans="1:6" x14ac:dyDescent="0.35">
      <c r="A158" s="1" t="s">
        <v>156</v>
      </c>
      <c r="B158" t="s">
        <v>270</v>
      </c>
      <c r="C158">
        <v>1</v>
      </c>
      <c r="D158" t="s">
        <v>270</v>
      </c>
      <c r="E158">
        <v>1</v>
      </c>
      <c r="F158">
        <v>1</v>
      </c>
    </row>
    <row r="159" spans="1:6" x14ac:dyDescent="0.35">
      <c r="A159" s="1" t="s">
        <v>157</v>
      </c>
      <c r="B159" t="s">
        <v>270</v>
      </c>
      <c r="C159" t="s">
        <v>270</v>
      </c>
      <c r="D159" t="s">
        <v>270</v>
      </c>
      <c r="E159" t="s">
        <v>270</v>
      </c>
      <c r="F159">
        <v>1</v>
      </c>
    </row>
    <row r="160" spans="1:6" x14ac:dyDescent="0.35">
      <c r="A160" s="1" t="s">
        <v>158</v>
      </c>
      <c r="B160">
        <v>1</v>
      </c>
      <c r="C160">
        <v>1</v>
      </c>
      <c r="D160" t="s">
        <v>270</v>
      </c>
      <c r="E160" t="s">
        <v>270</v>
      </c>
      <c r="F160" t="s">
        <v>270</v>
      </c>
    </row>
    <row r="161" spans="1:6" x14ac:dyDescent="0.35">
      <c r="A161" s="1" t="s">
        <v>159</v>
      </c>
      <c r="B161">
        <v>1</v>
      </c>
      <c r="C161" t="s">
        <v>270</v>
      </c>
      <c r="D161">
        <v>1</v>
      </c>
      <c r="E161" t="s">
        <v>270</v>
      </c>
      <c r="F161" t="s">
        <v>270</v>
      </c>
    </row>
    <row r="162" spans="1:6" x14ac:dyDescent="0.35">
      <c r="A162" s="1" t="s">
        <v>160</v>
      </c>
      <c r="B162" t="s">
        <v>270</v>
      </c>
      <c r="C162" t="s">
        <v>270</v>
      </c>
      <c r="D162" t="s">
        <v>270</v>
      </c>
      <c r="E162" t="s">
        <v>270</v>
      </c>
      <c r="F162" t="s">
        <v>270</v>
      </c>
    </row>
    <row r="163" spans="1:6" x14ac:dyDescent="0.35">
      <c r="A163" s="1" t="s">
        <v>161</v>
      </c>
      <c r="B163">
        <v>1</v>
      </c>
      <c r="C163" t="s">
        <v>270</v>
      </c>
      <c r="D163">
        <v>1</v>
      </c>
      <c r="E163" t="s">
        <v>270</v>
      </c>
      <c r="F163" t="s">
        <v>270</v>
      </c>
    </row>
    <row r="164" spans="1:6" x14ac:dyDescent="0.35">
      <c r="A164" s="1" t="s">
        <v>162</v>
      </c>
      <c r="B164" t="s">
        <v>270</v>
      </c>
      <c r="C164">
        <v>1</v>
      </c>
      <c r="D164">
        <v>1</v>
      </c>
      <c r="E164">
        <v>1</v>
      </c>
      <c r="F164" t="s">
        <v>270</v>
      </c>
    </row>
    <row r="165" spans="1:6" x14ac:dyDescent="0.35">
      <c r="A165" s="1" t="s">
        <v>163</v>
      </c>
      <c r="B165" t="s">
        <v>270</v>
      </c>
      <c r="C165" t="s">
        <v>270</v>
      </c>
      <c r="D165" t="s">
        <v>270</v>
      </c>
      <c r="E165">
        <v>1</v>
      </c>
      <c r="F165" t="s">
        <v>270</v>
      </c>
    </row>
    <row r="166" spans="1:6" x14ac:dyDescent="0.35">
      <c r="A166" s="1" t="s">
        <v>164</v>
      </c>
      <c r="B166" t="s">
        <v>270</v>
      </c>
      <c r="C166" t="s">
        <v>270</v>
      </c>
      <c r="D166">
        <v>1</v>
      </c>
      <c r="E166">
        <v>1</v>
      </c>
      <c r="F166" t="s">
        <v>270</v>
      </c>
    </row>
    <row r="167" spans="1:6" x14ac:dyDescent="0.35">
      <c r="A167" s="1" t="s">
        <v>165</v>
      </c>
      <c r="B167">
        <v>1</v>
      </c>
      <c r="C167">
        <v>1</v>
      </c>
      <c r="D167" t="s">
        <v>270</v>
      </c>
      <c r="E167">
        <v>1</v>
      </c>
      <c r="F167" t="s">
        <v>270</v>
      </c>
    </row>
    <row r="168" spans="1:6" x14ac:dyDescent="0.35">
      <c r="A168" s="1" t="s">
        <v>166</v>
      </c>
      <c r="B168" t="s">
        <v>270</v>
      </c>
      <c r="C168">
        <v>1</v>
      </c>
      <c r="D168">
        <v>1</v>
      </c>
      <c r="E168">
        <v>1</v>
      </c>
      <c r="F168">
        <v>1</v>
      </c>
    </row>
    <row r="169" spans="1:6" x14ac:dyDescent="0.35">
      <c r="A169" s="1" t="s">
        <v>167</v>
      </c>
      <c r="B169">
        <v>1</v>
      </c>
      <c r="C169">
        <v>1</v>
      </c>
      <c r="D169">
        <v>1</v>
      </c>
      <c r="E169">
        <v>1</v>
      </c>
      <c r="F169">
        <v>1</v>
      </c>
    </row>
    <row r="170" spans="1:6" x14ac:dyDescent="0.35">
      <c r="A170" s="1" t="s">
        <v>168</v>
      </c>
      <c r="B170" t="s">
        <v>270</v>
      </c>
      <c r="C170" t="s">
        <v>270</v>
      </c>
      <c r="D170" t="s">
        <v>270</v>
      </c>
      <c r="E170" t="s">
        <v>270</v>
      </c>
      <c r="F170">
        <v>1</v>
      </c>
    </row>
    <row r="171" spans="1:6" x14ac:dyDescent="0.35">
      <c r="A171" s="1" t="s">
        <v>169</v>
      </c>
      <c r="B171">
        <v>1</v>
      </c>
      <c r="C171" t="s">
        <v>270</v>
      </c>
      <c r="D171">
        <v>1</v>
      </c>
      <c r="E171" t="s">
        <v>270</v>
      </c>
      <c r="F171" t="s">
        <v>270</v>
      </c>
    </row>
    <row r="172" spans="1:6" x14ac:dyDescent="0.35">
      <c r="A172" s="1" t="s">
        <v>170</v>
      </c>
      <c r="B172">
        <v>1</v>
      </c>
      <c r="C172">
        <v>1</v>
      </c>
      <c r="D172">
        <v>1</v>
      </c>
      <c r="E172">
        <v>1</v>
      </c>
      <c r="F172" t="s">
        <v>270</v>
      </c>
    </row>
    <row r="173" spans="1:6" x14ac:dyDescent="0.35">
      <c r="A173" s="1" t="s">
        <v>171</v>
      </c>
      <c r="B173">
        <v>1</v>
      </c>
      <c r="C173" t="s">
        <v>270</v>
      </c>
      <c r="D173" t="s">
        <v>270</v>
      </c>
      <c r="E173">
        <v>1</v>
      </c>
      <c r="F173">
        <v>1</v>
      </c>
    </row>
    <row r="174" spans="1:6" x14ac:dyDescent="0.35">
      <c r="A174" s="1" t="s">
        <v>172</v>
      </c>
      <c r="B174">
        <v>1</v>
      </c>
      <c r="C174">
        <v>1</v>
      </c>
      <c r="D174">
        <v>1</v>
      </c>
      <c r="E174">
        <v>1</v>
      </c>
      <c r="F174" t="s">
        <v>270</v>
      </c>
    </row>
    <row r="175" spans="1:6" x14ac:dyDescent="0.35">
      <c r="A175" s="1" t="s">
        <v>173</v>
      </c>
      <c r="B175" t="s">
        <v>270</v>
      </c>
      <c r="C175">
        <v>1</v>
      </c>
      <c r="D175" t="s">
        <v>270</v>
      </c>
      <c r="E175" t="s">
        <v>270</v>
      </c>
      <c r="F175">
        <v>1</v>
      </c>
    </row>
    <row r="176" spans="1:6" x14ac:dyDescent="0.35">
      <c r="A176" s="1" t="s">
        <v>174</v>
      </c>
      <c r="B176" t="s">
        <v>270</v>
      </c>
      <c r="C176" t="s">
        <v>270</v>
      </c>
      <c r="D176" t="s">
        <v>270</v>
      </c>
      <c r="E176" t="s">
        <v>270</v>
      </c>
      <c r="F176" t="s">
        <v>270</v>
      </c>
    </row>
    <row r="177" spans="1:6" x14ac:dyDescent="0.35">
      <c r="A177" s="1" t="s">
        <v>175</v>
      </c>
      <c r="B177" t="s">
        <v>270</v>
      </c>
      <c r="C177" t="s">
        <v>270</v>
      </c>
      <c r="D177" t="s">
        <v>270</v>
      </c>
      <c r="E177" t="s">
        <v>270</v>
      </c>
      <c r="F177">
        <v>1</v>
      </c>
    </row>
    <row r="178" spans="1:6" x14ac:dyDescent="0.35">
      <c r="A178" s="1" t="s">
        <v>176</v>
      </c>
      <c r="B178">
        <v>1</v>
      </c>
      <c r="C178">
        <v>1</v>
      </c>
      <c r="D178" t="s">
        <v>270</v>
      </c>
      <c r="E178">
        <v>1</v>
      </c>
      <c r="F178" t="s">
        <v>270</v>
      </c>
    </row>
    <row r="179" spans="1:6" x14ac:dyDescent="0.35">
      <c r="A179" s="1" t="s">
        <v>177</v>
      </c>
      <c r="B179">
        <v>1</v>
      </c>
      <c r="C179" t="s">
        <v>270</v>
      </c>
      <c r="D179" t="s">
        <v>270</v>
      </c>
      <c r="E179">
        <v>1</v>
      </c>
      <c r="F179" t="s">
        <v>270</v>
      </c>
    </row>
    <row r="180" spans="1:6" x14ac:dyDescent="0.35">
      <c r="A180" s="1" t="s">
        <v>178</v>
      </c>
      <c r="B180">
        <v>1</v>
      </c>
      <c r="C180">
        <v>1</v>
      </c>
      <c r="D180" t="s">
        <v>270</v>
      </c>
      <c r="E180">
        <v>1</v>
      </c>
      <c r="F180" t="s">
        <v>270</v>
      </c>
    </row>
    <row r="181" spans="1:6" x14ac:dyDescent="0.35">
      <c r="A181" s="1" t="s">
        <v>179</v>
      </c>
      <c r="B181" t="s">
        <v>270</v>
      </c>
      <c r="C181" t="s">
        <v>270</v>
      </c>
      <c r="D181">
        <v>1</v>
      </c>
      <c r="E181" t="s">
        <v>270</v>
      </c>
      <c r="F181">
        <v>1</v>
      </c>
    </row>
    <row r="182" spans="1:6" x14ac:dyDescent="0.35">
      <c r="A182" s="1" t="s">
        <v>180</v>
      </c>
      <c r="B182" t="s">
        <v>270</v>
      </c>
      <c r="C182" t="s">
        <v>270</v>
      </c>
      <c r="D182">
        <v>1</v>
      </c>
      <c r="E182">
        <v>1</v>
      </c>
      <c r="F182" t="s">
        <v>270</v>
      </c>
    </row>
    <row r="183" spans="1:6" x14ac:dyDescent="0.35">
      <c r="A183" s="1" t="s">
        <v>181</v>
      </c>
      <c r="B183">
        <v>1</v>
      </c>
      <c r="C183" t="s">
        <v>270</v>
      </c>
      <c r="D183">
        <v>1</v>
      </c>
      <c r="E183">
        <v>1</v>
      </c>
      <c r="F183">
        <v>1</v>
      </c>
    </row>
    <row r="184" spans="1:6" x14ac:dyDescent="0.35">
      <c r="A184" s="1" t="s">
        <v>182</v>
      </c>
      <c r="B184">
        <v>1</v>
      </c>
      <c r="C184">
        <v>1</v>
      </c>
      <c r="D184">
        <v>1</v>
      </c>
      <c r="E184">
        <v>1</v>
      </c>
      <c r="F184" t="s">
        <v>270</v>
      </c>
    </row>
    <row r="185" spans="1:6" x14ac:dyDescent="0.35">
      <c r="A185" s="1" t="s">
        <v>183</v>
      </c>
      <c r="B185" t="s">
        <v>270</v>
      </c>
      <c r="C185">
        <v>1</v>
      </c>
      <c r="D185">
        <v>1</v>
      </c>
      <c r="E185" t="s">
        <v>270</v>
      </c>
      <c r="F185">
        <v>1</v>
      </c>
    </row>
    <row r="186" spans="1:6" x14ac:dyDescent="0.35">
      <c r="A186" s="1" t="s">
        <v>184</v>
      </c>
      <c r="B186" t="s">
        <v>270</v>
      </c>
      <c r="C186" t="s">
        <v>270</v>
      </c>
      <c r="D186" t="s">
        <v>270</v>
      </c>
      <c r="E186">
        <v>1</v>
      </c>
      <c r="F186" t="s">
        <v>270</v>
      </c>
    </row>
    <row r="187" spans="1:6" x14ac:dyDescent="0.35">
      <c r="A187" s="1" t="s">
        <v>185</v>
      </c>
      <c r="B187" t="s">
        <v>270</v>
      </c>
      <c r="C187" t="s">
        <v>270</v>
      </c>
      <c r="D187" t="s">
        <v>270</v>
      </c>
      <c r="E187">
        <v>1</v>
      </c>
      <c r="F187">
        <v>1</v>
      </c>
    </row>
    <row r="188" spans="1:6" x14ac:dyDescent="0.35">
      <c r="A188" s="1" t="s">
        <v>186</v>
      </c>
      <c r="B188">
        <v>1</v>
      </c>
      <c r="C188">
        <v>1</v>
      </c>
      <c r="D188">
        <v>1</v>
      </c>
      <c r="E188" t="s">
        <v>270</v>
      </c>
      <c r="F188">
        <v>1</v>
      </c>
    </row>
    <row r="189" spans="1:6" x14ac:dyDescent="0.35">
      <c r="A189" s="1" t="s">
        <v>187</v>
      </c>
      <c r="B189" t="s">
        <v>270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 s="1" t="s">
        <v>188</v>
      </c>
      <c r="B190">
        <v>1</v>
      </c>
      <c r="C190" t="s">
        <v>270</v>
      </c>
      <c r="D190" t="s">
        <v>270</v>
      </c>
      <c r="E190">
        <v>1</v>
      </c>
      <c r="F190" t="s">
        <v>270</v>
      </c>
    </row>
    <row r="191" spans="1:6" x14ac:dyDescent="0.35">
      <c r="A191" s="1" t="s">
        <v>189</v>
      </c>
      <c r="B191">
        <v>1</v>
      </c>
      <c r="C191">
        <v>1</v>
      </c>
      <c r="D191">
        <v>1</v>
      </c>
      <c r="E191" t="s">
        <v>270</v>
      </c>
      <c r="F191">
        <v>1</v>
      </c>
    </row>
    <row r="192" spans="1:6" x14ac:dyDescent="0.35">
      <c r="A192" s="1" t="s">
        <v>190</v>
      </c>
      <c r="B192" t="s">
        <v>270</v>
      </c>
      <c r="C192" t="s">
        <v>270</v>
      </c>
      <c r="D192">
        <v>1</v>
      </c>
      <c r="E192">
        <v>1</v>
      </c>
      <c r="F192" t="s">
        <v>270</v>
      </c>
    </row>
    <row r="193" spans="1:6" x14ac:dyDescent="0.35">
      <c r="A193" s="1" t="s">
        <v>191</v>
      </c>
      <c r="B193">
        <v>1</v>
      </c>
      <c r="C193">
        <v>1</v>
      </c>
      <c r="D193" t="s">
        <v>270</v>
      </c>
      <c r="E193" t="s">
        <v>270</v>
      </c>
      <c r="F193">
        <v>1</v>
      </c>
    </row>
    <row r="194" spans="1:6" x14ac:dyDescent="0.35">
      <c r="A194" s="1" t="s">
        <v>192</v>
      </c>
      <c r="B194" t="s">
        <v>270</v>
      </c>
      <c r="C194" t="s">
        <v>270</v>
      </c>
      <c r="D194">
        <v>1</v>
      </c>
      <c r="E194" t="s">
        <v>270</v>
      </c>
      <c r="F194" t="s">
        <v>270</v>
      </c>
    </row>
    <row r="195" spans="1:6" x14ac:dyDescent="0.35">
      <c r="A195" s="1" t="s">
        <v>193</v>
      </c>
      <c r="B195" t="s">
        <v>270</v>
      </c>
      <c r="C195" t="s">
        <v>270</v>
      </c>
      <c r="D195" t="s">
        <v>270</v>
      </c>
      <c r="E195">
        <v>1</v>
      </c>
      <c r="F195" t="s">
        <v>270</v>
      </c>
    </row>
    <row r="196" spans="1:6" x14ac:dyDescent="0.35">
      <c r="A196" s="1" t="s">
        <v>194</v>
      </c>
      <c r="B196">
        <v>1</v>
      </c>
      <c r="C196">
        <v>1</v>
      </c>
      <c r="D196">
        <v>1</v>
      </c>
      <c r="E196">
        <v>1</v>
      </c>
      <c r="F196" t="s">
        <v>270</v>
      </c>
    </row>
    <row r="197" spans="1:6" x14ac:dyDescent="0.35">
      <c r="A197" s="1" t="s">
        <v>195</v>
      </c>
      <c r="B197" t="s">
        <v>270</v>
      </c>
      <c r="C197" t="s">
        <v>270</v>
      </c>
      <c r="D197">
        <v>1</v>
      </c>
      <c r="E197">
        <v>1</v>
      </c>
      <c r="F197">
        <v>1</v>
      </c>
    </row>
    <row r="198" spans="1:6" x14ac:dyDescent="0.35">
      <c r="A198" s="1" t="s">
        <v>196</v>
      </c>
      <c r="B198" t="s">
        <v>270</v>
      </c>
      <c r="C198">
        <v>1</v>
      </c>
      <c r="D198" t="s">
        <v>270</v>
      </c>
      <c r="E198" t="s">
        <v>270</v>
      </c>
      <c r="F198" t="s">
        <v>270</v>
      </c>
    </row>
    <row r="199" spans="1:6" x14ac:dyDescent="0.35">
      <c r="A199" s="1" t="s">
        <v>197</v>
      </c>
      <c r="B199" t="s">
        <v>270</v>
      </c>
      <c r="C199" t="s">
        <v>270</v>
      </c>
      <c r="D199" t="s">
        <v>270</v>
      </c>
      <c r="E199">
        <v>1</v>
      </c>
      <c r="F199">
        <v>1</v>
      </c>
    </row>
    <row r="200" spans="1:6" x14ac:dyDescent="0.35">
      <c r="A200" s="1" t="s">
        <v>198</v>
      </c>
      <c r="B200">
        <v>1</v>
      </c>
      <c r="C200">
        <v>1</v>
      </c>
      <c r="D200">
        <v>1</v>
      </c>
      <c r="E200" t="s">
        <v>270</v>
      </c>
      <c r="F200" t="s">
        <v>270</v>
      </c>
    </row>
    <row r="201" spans="1:6" x14ac:dyDescent="0.35">
      <c r="A201" s="1" t="s">
        <v>199</v>
      </c>
      <c r="B201">
        <v>1</v>
      </c>
      <c r="C201" t="s">
        <v>270</v>
      </c>
      <c r="D201">
        <v>1</v>
      </c>
      <c r="E201" t="s">
        <v>270</v>
      </c>
      <c r="F201">
        <v>1</v>
      </c>
    </row>
    <row r="202" spans="1:6" x14ac:dyDescent="0.35">
      <c r="A202" s="1" t="s">
        <v>200</v>
      </c>
      <c r="B202">
        <v>1</v>
      </c>
      <c r="C202">
        <v>1</v>
      </c>
      <c r="D202">
        <v>1</v>
      </c>
      <c r="E202" t="s">
        <v>270</v>
      </c>
      <c r="F202" t="s">
        <v>270</v>
      </c>
    </row>
    <row r="203" spans="1:6" x14ac:dyDescent="0.35">
      <c r="A203" s="1" t="s">
        <v>201</v>
      </c>
      <c r="B203">
        <v>1</v>
      </c>
      <c r="C203" t="s">
        <v>270</v>
      </c>
      <c r="D203">
        <v>1</v>
      </c>
      <c r="E203" t="s">
        <v>270</v>
      </c>
      <c r="F203" t="s">
        <v>270</v>
      </c>
    </row>
    <row r="204" spans="1:6" x14ac:dyDescent="0.35">
      <c r="A204" s="1" t="s">
        <v>202</v>
      </c>
      <c r="B204" t="s">
        <v>270</v>
      </c>
      <c r="C204" t="s">
        <v>270</v>
      </c>
      <c r="D204">
        <v>1</v>
      </c>
      <c r="E204">
        <v>1</v>
      </c>
      <c r="F204">
        <v>1</v>
      </c>
    </row>
    <row r="205" spans="1:6" x14ac:dyDescent="0.35">
      <c r="A205" s="1" t="s">
        <v>203</v>
      </c>
      <c r="B205" t="s">
        <v>270</v>
      </c>
      <c r="C205">
        <v>1</v>
      </c>
      <c r="D205">
        <v>1</v>
      </c>
      <c r="E205" t="s">
        <v>270</v>
      </c>
      <c r="F205">
        <v>1</v>
      </c>
    </row>
    <row r="206" spans="1:6" x14ac:dyDescent="0.35">
      <c r="A206" s="1" t="s">
        <v>204</v>
      </c>
      <c r="B206">
        <v>1</v>
      </c>
      <c r="C206">
        <v>1</v>
      </c>
      <c r="D206">
        <v>1</v>
      </c>
      <c r="E206" t="s">
        <v>270</v>
      </c>
      <c r="F206">
        <v>1</v>
      </c>
    </row>
    <row r="207" spans="1:6" x14ac:dyDescent="0.35">
      <c r="A207" s="1" t="s">
        <v>205</v>
      </c>
      <c r="B207" t="s">
        <v>270</v>
      </c>
      <c r="C207" t="s">
        <v>270</v>
      </c>
      <c r="D207" t="s">
        <v>270</v>
      </c>
      <c r="E207">
        <v>1</v>
      </c>
      <c r="F207" t="s">
        <v>270</v>
      </c>
    </row>
    <row r="208" spans="1:6" x14ac:dyDescent="0.35">
      <c r="A208" s="1" t="s">
        <v>206</v>
      </c>
      <c r="B208">
        <v>1</v>
      </c>
      <c r="C208">
        <v>1</v>
      </c>
      <c r="D208">
        <v>1</v>
      </c>
      <c r="E208">
        <v>1</v>
      </c>
      <c r="F208" t="s">
        <v>270</v>
      </c>
    </row>
    <row r="209" spans="1:6" x14ac:dyDescent="0.35">
      <c r="A209" s="1" t="s">
        <v>207</v>
      </c>
      <c r="B209" t="s">
        <v>270</v>
      </c>
      <c r="C209">
        <v>1</v>
      </c>
      <c r="D209">
        <v>1</v>
      </c>
      <c r="E209">
        <v>1</v>
      </c>
      <c r="F209" t="s">
        <v>270</v>
      </c>
    </row>
    <row r="210" spans="1:6" x14ac:dyDescent="0.35">
      <c r="A210" s="1" t="s">
        <v>208</v>
      </c>
      <c r="B210" t="s">
        <v>270</v>
      </c>
      <c r="C210">
        <v>1</v>
      </c>
      <c r="D210" t="s">
        <v>270</v>
      </c>
      <c r="E210">
        <v>1</v>
      </c>
      <c r="F210">
        <v>1</v>
      </c>
    </row>
    <row r="211" spans="1:6" x14ac:dyDescent="0.35">
      <c r="A211" s="1" t="s">
        <v>209</v>
      </c>
      <c r="B211">
        <v>1</v>
      </c>
      <c r="C211">
        <v>1</v>
      </c>
      <c r="D211">
        <v>1</v>
      </c>
      <c r="E211">
        <v>1</v>
      </c>
      <c r="F211">
        <v>1</v>
      </c>
    </row>
    <row r="212" spans="1:6" x14ac:dyDescent="0.35">
      <c r="A212" s="1" t="s">
        <v>210</v>
      </c>
      <c r="B212">
        <v>1</v>
      </c>
      <c r="C212" t="s">
        <v>270</v>
      </c>
      <c r="D212">
        <v>1</v>
      </c>
      <c r="E212" t="s">
        <v>270</v>
      </c>
      <c r="F212">
        <v>1</v>
      </c>
    </row>
    <row r="213" spans="1:6" x14ac:dyDescent="0.35">
      <c r="A213" s="1" t="s">
        <v>211</v>
      </c>
      <c r="B213" t="s">
        <v>270</v>
      </c>
      <c r="C213" t="s">
        <v>270</v>
      </c>
      <c r="D213" t="s">
        <v>270</v>
      </c>
      <c r="E213" t="s">
        <v>270</v>
      </c>
      <c r="F213" t="s">
        <v>270</v>
      </c>
    </row>
    <row r="214" spans="1:6" x14ac:dyDescent="0.35">
      <c r="A214" s="1" t="s">
        <v>212</v>
      </c>
      <c r="B214">
        <v>1</v>
      </c>
      <c r="C214" t="s">
        <v>270</v>
      </c>
      <c r="D214" t="s">
        <v>270</v>
      </c>
      <c r="E214" t="s">
        <v>270</v>
      </c>
      <c r="F214">
        <v>1</v>
      </c>
    </row>
    <row r="215" spans="1:6" x14ac:dyDescent="0.35">
      <c r="A215" s="1" t="s">
        <v>213</v>
      </c>
      <c r="B215">
        <v>1</v>
      </c>
      <c r="C215">
        <v>1</v>
      </c>
      <c r="D215">
        <v>1</v>
      </c>
      <c r="E215">
        <v>1</v>
      </c>
      <c r="F215" t="s">
        <v>270</v>
      </c>
    </row>
    <row r="216" spans="1:6" x14ac:dyDescent="0.35">
      <c r="A216" s="1" t="s">
        <v>214</v>
      </c>
      <c r="B216">
        <v>1</v>
      </c>
      <c r="C216">
        <v>1</v>
      </c>
      <c r="D216">
        <v>1</v>
      </c>
      <c r="E216" t="s">
        <v>270</v>
      </c>
      <c r="F216">
        <v>1</v>
      </c>
    </row>
    <row r="217" spans="1:6" x14ac:dyDescent="0.35">
      <c r="A217" s="1" t="s">
        <v>215</v>
      </c>
      <c r="B217">
        <v>1</v>
      </c>
      <c r="C217">
        <v>1</v>
      </c>
      <c r="D217" t="s">
        <v>270</v>
      </c>
      <c r="E217" t="s">
        <v>270</v>
      </c>
      <c r="F217">
        <v>1</v>
      </c>
    </row>
    <row r="218" spans="1:6" x14ac:dyDescent="0.35">
      <c r="A218" s="1" t="s">
        <v>216</v>
      </c>
      <c r="B218">
        <v>1</v>
      </c>
      <c r="C218" t="s">
        <v>270</v>
      </c>
      <c r="D218" t="s">
        <v>270</v>
      </c>
      <c r="E218" t="s">
        <v>270</v>
      </c>
      <c r="F218" t="s">
        <v>270</v>
      </c>
    </row>
    <row r="219" spans="1:6" x14ac:dyDescent="0.35">
      <c r="A219" s="1" t="s">
        <v>217</v>
      </c>
      <c r="B219">
        <v>1</v>
      </c>
      <c r="C219" t="s">
        <v>270</v>
      </c>
      <c r="D219">
        <v>1</v>
      </c>
      <c r="E219">
        <v>1</v>
      </c>
      <c r="F219" t="s">
        <v>270</v>
      </c>
    </row>
    <row r="220" spans="1:6" x14ac:dyDescent="0.35">
      <c r="A220" s="1" t="s">
        <v>218</v>
      </c>
      <c r="B220" t="s">
        <v>270</v>
      </c>
      <c r="C220">
        <v>1</v>
      </c>
      <c r="D220">
        <v>1</v>
      </c>
      <c r="E220" t="s">
        <v>270</v>
      </c>
      <c r="F220">
        <v>1</v>
      </c>
    </row>
    <row r="221" spans="1:6" x14ac:dyDescent="0.35">
      <c r="A221" s="1" t="s">
        <v>219</v>
      </c>
      <c r="B221">
        <v>1</v>
      </c>
      <c r="C221">
        <v>1</v>
      </c>
      <c r="D221" t="s">
        <v>270</v>
      </c>
      <c r="E221">
        <v>1</v>
      </c>
      <c r="F221" t="s">
        <v>270</v>
      </c>
    </row>
    <row r="222" spans="1:6" x14ac:dyDescent="0.35">
      <c r="A222" s="1" t="s">
        <v>220</v>
      </c>
      <c r="B222" t="s">
        <v>270</v>
      </c>
      <c r="C222">
        <v>1</v>
      </c>
      <c r="D222" t="s">
        <v>270</v>
      </c>
      <c r="E222" t="s">
        <v>270</v>
      </c>
      <c r="F222" t="s">
        <v>270</v>
      </c>
    </row>
    <row r="223" spans="1:6" x14ac:dyDescent="0.35">
      <c r="A223" s="1" t="s">
        <v>221</v>
      </c>
      <c r="B223" t="s">
        <v>270</v>
      </c>
      <c r="C223">
        <v>1</v>
      </c>
      <c r="D223" t="s">
        <v>270</v>
      </c>
      <c r="E223" t="s">
        <v>270</v>
      </c>
      <c r="F223">
        <v>1</v>
      </c>
    </row>
    <row r="224" spans="1:6" x14ac:dyDescent="0.35">
      <c r="A224" s="1" t="s">
        <v>222</v>
      </c>
      <c r="B224" t="s">
        <v>270</v>
      </c>
      <c r="C224" t="s">
        <v>270</v>
      </c>
      <c r="D224">
        <v>1</v>
      </c>
      <c r="E224" t="s">
        <v>270</v>
      </c>
      <c r="F224">
        <v>1</v>
      </c>
    </row>
    <row r="225" spans="1:6" x14ac:dyDescent="0.35">
      <c r="A225" s="1" t="s">
        <v>223</v>
      </c>
      <c r="B225">
        <v>1</v>
      </c>
      <c r="C225" t="s">
        <v>270</v>
      </c>
      <c r="D225" t="s">
        <v>270</v>
      </c>
      <c r="E225" t="s">
        <v>270</v>
      </c>
      <c r="F225" t="s">
        <v>270</v>
      </c>
    </row>
    <row r="226" spans="1:6" x14ac:dyDescent="0.35">
      <c r="A226" s="1" t="s">
        <v>224</v>
      </c>
      <c r="B226" t="s">
        <v>270</v>
      </c>
      <c r="C226" t="s">
        <v>270</v>
      </c>
      <c r="D226">
        <v>1</v>
      </c>
      <c r="E226" t="s">
        <v>270</v>
      </c>
      <c r="F226">
        <v>1</v>
      </c>
    </row>
    <row r="227" spans="1:6" x14ac:dyDescent="0.35">
      <c r="A227" s="1" t="s">
        <v>225</v>
      </c>
      <c r="B227">
        <v>1</v>
      </c>
      <c r="C227" t="s">
        <v>270</v>
      </c>
      <c r="D227" t="s">
        <v>270</v>
      </c>
      <c r="E227" t="s">
        <v>270</v>
      </c>
      <c r="F227" t="s">
        <v>270</v>
      </c>
    </row>
    <row r="228" spans="1:6" x14ac:dyDescent="0.35">
      <c r="A228" s="1" t="s">
        <v>226</v>
      </c>
      <c r="B228" t="s">
        <v>270</v>
      </c>
      <c r="C228">
        <v>1</v>
      </c>
      <c r="D228">
        <v>1</v>
      </c>
      <c r="E228">
        <v>1</v>
      </c>
      <c r="F228">
        <v>1</v>
      </c>
    </row>
    <row r="229" spans="1:6" x14ac:dyDescent="0.35">
      <c r="A229" s="1" t="s">
        <v>227</v>
      </c>
      <c r="B229">
        <v>1</v>
      </c>
      <c r="C229">
        <v>1</v>
      </c>
      <c r="D229" t="s">
        <v>270</v>
      </c>
      <c r="E229">
        <v>1</v>
      </c>
      <c r="F229" t="s">
        <v>270</v>
      </c>
    </row>
    <row r="230" spans="1:6" x14ac:dyDescent="0.35">
      <c r="A230" s="1" t="s">
        <v>228</v>
      </c>
      <c r="B230" t="s">
        <v>270</v>
      </c>
      <c r="C230" t="s">
        <v>270</v>
      </c>
      <c r="D230" t="s">
        <v>270</v>
      </c>
      <c r="E230" t="s">
        <v>270</v>
      </c>
      <c r="F230">
        <v>1</v>
      </c>
    </row>
    <row r="231" spans="1:6" x14ac:dyDescent="0.35">
      <c r="A231" s="1" t="s">
        <v>229</v>
      </c>
      <c r="B231" t="s">
        <v>270</v>
      </c>
      <c r="C231">
        <v>1</v>
      </c>
      <c r="D231" t="s">
        <v>270</v>
      </c>
      <c r="E231" t="s">
        <v>270</v>
      </c>
      <c r="F231">
        <v>1</v>
      </c>
    </row>
    <row r="232" spans="1:6" x14ac:dyDescent="0.35">
      <c r="A232" s="1" t="s">
        <v>230</v>
      </c>
      <c r="B232">
        <v>1</v>
      </c>
      <c r="C232" t="s">
        <v>270</v>
      </c>
      <c r="D232">
        <v>1</v>
      </c>
      <c r="E232">
        <v>1</v>
      </c>
      <c r="F232" t="s">
        <v>270</v>
      </c>
    </row>
    <row r="233" spans="1:6" x14ac:dyDescent="0.35">
      <c r="A233" s="1" t="s">
        <v>231</v>
      </c>
      <c r="B233">
        <v>1</v>
      </c>
      <c r="C233">
        <v>1</v>
      </c>
      <c r="D233" t="s">
        <v>270</v>
      </c>
      <c r="E233">
        <v>1</v>
      </c>
      <c r="F233" t="s">
        <v>270</v>
      </c>
    </row>
    <row r="234" spans="1:6" x14ac:dyDescent="0.35">
      <c r="A234" s="1" t="s">
        <v>232</v>
      </c>
      <c r="B234" t="s">
        <v>270</v>
      </c>
      <c r="C234">
        <v>1</v>
      </c>
      <c r="D234" t="s">
        <v>270</v>
      </c>
      <c r="E234">
        <v>1</v>
      </c>
      <c r="F234" t="s">
        <v>270</v>
      </c>
    </row>
    <row r="235" spans="1:6" x14ac:dyDescent="0.35">
      <c r="A235" s="1" t="s">
        <v>233</v>
      </c>
      <c r="B235">
        <v>1</v>
      </c>
      <c r="C235" t="s">
        <v>270</v>
      </c>
      <c r="D235">
        <v>1</v>
      </c>
      <c r="E235">
        <v>1</v>
      </c>
      <c r="F235" t="s">
        <v>270</v>
      </c>
    </row>
    <row r="236" spans="1:6" x14ac:dyDescent="0.35">
      <c r="A236" s="1" t="s">
        <v>234</v>
      </c>
      <c r="B236" t="s">
        <v>270</v>
      </c>
      <c r="C236">
        <v>1</v>
      </c>
      <c r="D236" t="s">
        <v>270</v>
      </c>
      <c r="E236">
        <v>1</v>
      </c>
      <c r="F236" t="s">
        <v>270</v>
      </c>
    </row>
    <row r="237" spans="1:6" x14ac:dyDescent="0.35">
      <c r="A237" s="1" t="s">
        <v>235</v>
      </c>
      <c r="B237">
        <v>1</v>
      </c>
      <c r="C237">
        <v>1</v>
      </c>
      <c r="D237">
        <v>1</v>
      </c>
      <c r="E237">
        <v>1</v>
      </c>
      <c r="F237" t="s">
        <v>270</v>
      </c>
    </row>
    <row r="238" spans="1:6" x14ac:dyDescent="0.35">
      <c r="A238" s="1" t="s">
        <v>236</v>
      </c>
      <c r="B238">
        <v>1</v>
      </c>
      <c r="C238" t="s">
        <v>270</v>
      </c>
      <c r="D238" t="s">
        <v>270</v>
      </c>
      <c r="E238" t="s">
        <v>270</v>
      </c>
      <c r="F238" t="s">
        <v>270</v>
      </c>
    </row>
    <row r="239" spans="1:6" x14ac:dyDescent="0.35">
      <c r="A239" s="1" t="s">
        <v>237</v>
      </c>
      <c r="B239" t="s">
        <v>270</v>
      </c>
      <c r="C239">
        <v>1</v>
      </c>
      <c r="D239">
        <v>1</v>
      </c>
      <c r="E239">
        <v>1</v>
      </c>
      <c r="F239">
        <v>1</v>
      </c>
    </row>
    <row r="240" spans="1:6" x14ac:dyDescent="0.35">
      <c r="A240" s="1" t="s">
        <v>238</v>
      </c>
      <c r="B240">
        <v>1</v>
      </c>
      <c r="C240" t="s">
        <v>270</v>
      </c>
      <c r="D240" t="s">
        <v>270</v>
      </c>
      <c r="E240" t="s">
        <v>270</v>
      </c>
      <c r="F240">
        <v>1</v>
      </c>
    </row>
    <row r="241" spans="1:6" x14ac:dyDescent="0.35">
      <c r="A241" s="1" t="s">
        <v>239</v>
      </c>
      <c r="B241">
        <v>1</v>
      </c>
      <c r="C241" t="s">
        <v>270</v>
      </c>
      <c r="D241">
        <v>1</v>
      </c>
      <c r="E241">
        <v>1</v>
      </c>
      <c r="F241">
        <v>1</v>
      </c>
    </row>
    <row r="242" spans="1:6" x14ac:dyDescent="0.35">
      <c r="A242" s="1" t="s">
        <v>240</v>
      </c>
      <c r="B242">
        <v>1</v>
      </c>
      <c r="C242">
        <v>1</v>
      </c>
      <c r="D242" t="s">
        <v>270</v>
      </c>
      <c r="E242">
        <v>1</v>
      </c>
      <c r="F242" t="s">
        <v>270</v>
      </c>
    </row>
    <row r="243" spans="1:6" x14ac:dyDescent="0.35">
      <c r="A243" s="1" t="s">
        <v>241</v>
      </c>
      <c r="B243" t="s">
        <v>270</v>
      </c>
      <c r="C243" t="s">
        <v>270</v>
      </c>
      <c r="D243" t="s">
        <v>270</v>
      </c>
      <c r="E243" t="s">
        <v>270</v>
      </c>
      <c r="F243">
        <v>1</v>
      </c>
    </row>
    <row r="244" spans="1:6" x14ac:dyDescent="0.35">
      <c r="A244" s="1" t="s">
        <v>242</v>
      </c>
      <c r="B244" t="s">
        <v>270</v>
      </c>
      <c r="C244" t="s">
        <v>270</v>
      </c>
      <c r="D244">
        <v>1</v>
      </c>
      <c r="E244" t="s">
        <v>270</v>
      </c>
      <c r="F244">
        <v>1</v>
      </c>
    </row>
    <row r="245" spans="1:6" x14ac:dyDescent="0.35">
      <c r="A245" s="1" t="s">
        <v>243</v>
      </c>
      <c r="B245">
        <v>1</v>
      </c>
      <c r="C245">
        <v>1</v>
      </c>
      <c r="D245">
        <v>1</v>
      </c>
      <c r="E245" t="s">
        <v>270</v>
      </c>
      <c r="F245" t="s">
        <v>270</v>
      </c>
    </row>
    <row r="246" spans="1:6" x14ac:dyDescent="0.35">
      <c r="A246" s="1" t="s">
        <v>244</v>
      </c>
      <c r="B246">
        <v>1</v>
      </c>
      <c r="C246">
        <v>1</v>
      </c>
      <c r="D246" t="s">
        <v>270</v>
      </c>
      <c r="E246">
        <v>1</v>
      </c>
      <c r="F246">
        <v>1</v>
      </c>
    </row>
    <row r="247" spans="1:6" x14ac:dyDescent="0.35">
      <c r="A247" s="1" t="s">
        <v>245</v>
      </c>
      <c r="B247" t="s">
        <v>270</v>
      </c>
      <c r="C247" t="s">
        <v>270</v>
      </c>
      <c r="D247">
        <v>1</v>
      </c>
      <c r="E247" t="s">
        <v>270</v>
      </c>
      <c r="F247">
        <v>1</v>
      </c>
    </row>
    <row r="248" spans="1:6" x14ac:dyDescent="0.35">
      <c r="A248" s="1" t="s">
        <v>246</v>
      </c>
      <c r="B248" t="s">
        <v>270</v>
      </c>
      <c r="C248">
        <v>1</v>
      </c>
      <c r="D248">
        <v>1</v>
      </c>
      <c r="E248">
        <v>1</v>
      </c>
      <c r="F248" t="s">
        <v>270</v>
      </c>
    </row>
    <row r="249" spans="1:6" x14ac:dyDescent="0.35">
      <c r="A249" s="1" t="s">
        <v>247</v>
      </c>
      <c r="B249" t="s">
        <v>270</v>
      </c>
      <c r="C249">
        <v>1</v>
      </c>
      <c r="D249">
        <v>1</v>
      </c>
      <c r="E249">
        <v>1</v>
      </c>
      <c r="F249" t="s">
        <v>270</v>
      </c>
    </row>
    <row r="250" spans="1:6" x14ac:dyDescent="0.35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1</v>
      </c>
    </row>
    <row r="251" spans="1:6" x14ac:dyDescent="0.35">
      <c r="A251" s="1" t="s">
        <v>249</v>
      </c>
      <c r="B251">
        <v>1</v>
      </c>
      <c r="C251" t="s">
        <v>270</v>
      </c>
      <c r="D251">
        <v>1</v>
      </c>
      <c r="E251" t="s">
        <v>270</v>
      </c>
      <c r="F251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B837-706A-4283-ACE9-2D61E8A0B0FB}">
  <dimension ref="A1:F251"/>
  <sheetViews>
    <sheetView workbookViewId="0"/>
  </sheetViews>
  <sheetFormatPr defaultRowHeight="14.5" x14ac:dyDescent="0.35"/>
  <sheetData>
    <row r="1" spans="1:6" x14ac:dyDescent="0.35"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</row>
    <row r="2" spans="1:6" x14ac:dyDescent="0.35">
      <c r="A2" s="1" t="s">
        <v>0</v>
      </c>
      <c r="B2" t="s">
        <v>270</v>
      </c>
      <c r="C2" t="s">
        <v>270</v>
      </c>
      <c r="D2">
        <v>1</v>
      </c>
      <c r="E2" t="s">
        <v>270</v>
      </c>
      <c r="F2">
        <v>1</v>
      </c>
    </row>
    <row r="3" spans="1:6" x14ac:dyDescent="0.35">
      <c r="A3" s="1" t="s">
        <v>1</v>
      </c>
      <c r="B3">
        <v>1</v>
      </c>
      <c r="C3">
        <v>1</v>
      </c>
      <c r="D3" t="s">
        <v>270</v>
      </c>
      <c r="E3">
        <v>1</v>
      </c>
      <c r="F3">
        <v>1</v>
      </c>
    </row>
    <row r="4" spans="1:6" x14ac:dyDescent="0.35">
      <c r="A4" s="1" t="s">
        <v>2</v>
      </c>
      <c r="B4" t="s">
        <v>270</v>
      </c>
      <c r="C4" t="s">
        <v>270</v>
      </c>
      <c r="D4" t="s">
        <v>270</v>
      </c>
      <c r="E4">
        <v>1</v>
      </c>
      <c r="F4">
        <v>1</v>
      </c>
    </row>
    <row r="5" spans="1:6" x14ac:dyDescent="0.35">
      <c r="A5" s="1" t="s">
        <v>3</v>
      </c>
      <c r="B5">
        <v>1</v>
      </c>
      <c r="C5">
        <v>1</v>
      </c>
      <c r="D5" t="s">
        <v>270</v>
      </c>
      <c r="E5" t="s">
        <v>270</v>
      </c>
      <c r="F5">
        <v>1</v>
      </c>
    </row>
    <row r="6" spans="1:6" x14ac:dyDescent="0.35">
      <c r="A6" s="1" t="s">
        <v>4</v>
      </c>
      <c r="B6" t="s">
        <v>270</v>
      </c>
      <c r="C6" t="s">
        <v>270</v>
      </c>
      <c r="D6" t="s">
        <v>270</v>
      </c>
      <c r="E6" t="s">
        <v>270</v>
      </c>
      <c r="F6" t="s">
        <v>270</v>
      </c>
    </row>
    <row r="7" spans="1:6" x14ac:dyDescent="0.35">
      <c r="A7" s="1" t="s">
        <v>5</v>
      </c>
      <c r="B7" t="s">
        <v>270</v>
      </c>
      <c r="C7" t="s">
        <v>270</v>
      </c>
      <c r="D7" t="s">
        <v>270</v>
      </c>
      <c r="E7">
        <v>1</v>
      </c>
      <c r="F7">
        <v>1</v>
      </c>
    </row>
    <row r="8" spans="1:6" x14ac:dyDescent="0.35">
      <c r="A8" s="1" t="s">
        <v>6</v>
      </c>
      <c r="B8" t="s">
        <v>270</v>
      </c>
      <c r="C8" t="s">
        <v>270</v>
      </c>
      <c r="D8" t="s">
        <v>270</v>
      </c>
      <c r="E8" t="s">
        <v>270</v>
      </c>
      <c r="F8" t="s">
        <v>270</v>
      </c>
    </row>
    <row r="9" spans="1:6" x14ac:dyDescent="0.35">
      <c r="A9" s="1" t="s">
        <v>7</v>
      </c>
      <c r="B9">
        <v>1</v>
      </c>
      <c r="C9" t="s">
        <v>270</v>
      </c>
      <c r="D9">
        <v>1</v>
      </c>
      <c r="E9" t="s">
        <v>270</v>
      </c>
      <c r="F9">
        <v>1</v>
      </c>
    </row>
    <row r="10" spans="1:6" x14ac:dyDescent="0.35">
      <c r="A10" s="1" t="s">
        <v>8</v>
      </c>
      <c r="B10" t="s">
        <v>270</v>
      </c>
      <c r="C10" t="s">
        <v>270</v>
      </c>
      <c r="D10">
        <v>1</v>
      </c>
      <c r="E10">
        <v>1</v>
      </c>
      <c r="F10">
        <v>1</v>
      </c>
    </row>
    <row r="11" spans="1:6" x14ac:dyDescent="0.35">
      <c r="A11" s="1" t="s">
        <v>9</v>
      </c>
      <c r="B11" t="s">
        <v>270</v>
      </c>
      <c r="C11">
        <v>1</v>
      </c>
      <c r="D11" t="s">
        <v>270</v>
      </c>
      <c r="E11" t="s">
        <v>270</v>
      </c>
      <c r="F11" t="s">
        <v>270</v>
      </c>
    </row>
    <row r="12" spans="1:6" x14ac:dyDescent="0.35">
      <c r="A12" s="1" t="s">
        <v>10</v>
      </c>
      <c r="B12" t="s">
        <v>270</v>
      </c>
      <c r="C12">
        <v>1</v>
      </c>
      <c r="D12">
        <v>1</v>
      </c>
      <c r="E12" t="s">
        <v>270</v>
      </c>
      <c r="F12">
        <v>1</v>
      </c>
    </row>
    <row r="13" spans="1:6" x14ac:dyDescent="0.35">
      <c r="A13" s="1" t="s">
        <v>11</v>
      </c>
      <c r="B13">
        <v>1</v>
      </c>
      <c r="C13">
        <v>1</v>
      </c>
      <c r="D13" t="s">
        <v>270</v>
      </c>
      <c r="E13" t="s">
        <v>270</v>
      </c>
      <c r="F13">
        <v>1</v>
      </c>
    </row>
    <row r="14" spans="1:6" x14ac:dyDescent="0.35">
      <c r="A14" s="1" t="s">
        <v>12</v>
      </c>
      <c r="B14">
        <v>1</v>
      </c>
      <c r="C14">
        <v>1</v>
      </c>
      <c r="D14">
        <v>1</v>
      </c>
      <c r="E14">
        <v>1</v>
      </c>
      <c r="F14">
        <v>1</v>
      </c>
    </row>
    <row r="15" spans="1:6" x14ac:dyDescent="0.35">
      <c r="A15" s="1" t="s">
        <v>13</v>
      </c>
      <c r="B15" t="s">
        <v>270</v>
      </c>
      <c r="C15" t="s">
        <v>270</v>
      </c>
      <c r="D15">
        <v>1</v>
      </c>
      <c r="E15">
        <v>1</v>
      </c>
      <c r="F15">
        <v>1</v>
      </c>
    </row>
    <row r="16" spans="1:6" x14ac:dyDescent="0.35">
      <c r="A16" s="1" t="s">
        <v>14</v>
      </c>
      <c r="B16" t="s">
        <v>270</v>
      </c>
      <c r="C16" t="s">
        <v>270</v>
      </c>
      <c r="D16" t="s">
        <v>270</v>
      </c>
      <c r="E16">
        <v>1</v>
      </c>
      <c r="F16">
        <v>1</v>
      </c>
    </row>
    <row r="17" spans="1:6" x14ac:dyDescent="0.35">
      <c r="A17" s="1" t="s">
        <v>15</v>
      </c>
      <c r="B17" t="s">
        <v>270</v>
      </c>
      <c r="C17" t="s">
        <v>270</v>
      </c>
      <c r="D17">
        <v>1</v>
      </c>
      <c r="E17" t="s">
        <v>270</v>
      </c>
      <c r="F17">
        <v>1</v>
      </c>
    </row>
    <row r="18" spans="1:6" x14ac:dyDescent="0.35">
      <c r="A18" s="1" t="s">
        <v>16</v>
      </c>
      <c r="B18" t="s">
        <v>270</v>
      </c>
      <c r="C18">
        <v>1</v>
      </c>
      <c r="D18" t="s">
        <v>270</v>
      </c>
      <c r="E18" t="s">
        <v>270</v>
      </c>
      <c r="F18">
        <v>1</v>
      </c>
    </row>
    <row r="19" spans="1:6" x14ac:dyDescent="0.35">
      <c r="A19" s="1" t="s">
        <v>17</v>
      </c>
      <c r="B19" t="s">
        <v>270</v>
      </c>
      <c r="C19" t="s">
        <v>270</v>
      </c>
      <c r="D19" t="s">
        <v>270</v>
      </c>
      <c r="E19" t="s">
        <v>270</v>
      </c>
      <c r="F19">
        <v>1</v>
      </c>
    </row>
    <row r="20" spans="1:6" x14ac:dyDescent="0.35">
      <c r="A20" s="1" t="s">
        <v>18</v>
      </c>
      <c r="B20">
        <v>1</v>
      </c>
      <c r="C20" t="s">
        <v>270</v>
      </c>
      <c r="D20" t="s">
        <v>270</v>
      </c>
      <c r="E20">
        <v>1</v>
      </c>
      <c r="F20" t="s">
        <v>270</v>
      </c>
    </row>
    <row r="21" spans="1:6" x14ac:dyDescent="0.35">
      <c r="A21" s="1" t="s">
        <v>19</v>
      </c>
      <c r="B21" t="s">
        <v>270</v>
      </c>
      <c r="C21">
        <v>1</v>
      </c>
      <c r="D21">
        <v>1</v>
      </c>
      <c r="E21" t="s">
        <v>270</v>
      </c>
      <c r="F21" t="s">
        <v>270</v>
      </c>
    </row>
    <row r="22" spans="1:6" x14ac:dyDescent="0.35">
      <c r="A22" s="1" t="s">
        <v>20</v>
      </c>
      <c r="B22">
        <v>1</v>
      </c>
      <c r="C22" t="s">
        <v>270</v>
      </c>
      <c r="D22" t="s">
        <v>270</v>
      </c>
      <c r="E22">
        <v>1</v>
      </c>
      <c r="F22" t="s">
        <v>270</v>
      </c>
    </row>
    <row r="23" spans="1:6" x14ac:dyDescent="0.35">
      <c r="A23" s="1" t="s">
        <v>21</v>
      </c>
      <c r="B23" t="s">
        <v>270</v>
      </c>
      <c r="C23">
        <v>1</v>
      </c>
      <c r="D23">
        <v>1</v>
      </c>
      <c r="E23">
        <v>1</v>
      </c>
      <c r="F23" t="s">
        <v>270</v>
      </c>
    </row>
    <row r="24" spans="1:6" x14ac:dyDescent="0.35">
      <c r="A24" s="1" t="s">
        <v>22</v>
      </c>
      <c r="B24">
        <v>1</v>
      </c>
      <c r="C24">
        <v>1</v>
      </c>
      <c r="D24">
        <v>1</v>
      </c>
      <c r="E24" t="s">
        <v>270</v>
      </c>
      <c r="F24">
        <v>1</v>
      </c>
    </row>
    <row r="25" spans="1:6" x14ac:dyDescent="0.35">
      <c r="A25" s="1" t="s">
        <v>23</v>
      </c>
      <c r="B25" t="s">
        <v>270</v>
      </c>
      <c r="C25" t="s">
        <v>270</v>
      </c>
      <c r="D25" t="s">
        <v>270</v>
      </c>
      <c r="E25">
        <v>1</v>
      </c>
      <c r="F25" t="s">
        <v>270</v>
      </c>
    </row>
    <row r="26" spans="1:6" x14ac:dyDescent="0.35">
      <c r="A26" s="1" t="s">
        <v>24</v>
      </c>
      <c r="B26">
        <v>1</v>
      </c>
      <c r="C26" t="s">
        <v>270</v>
      </c>
      <c r="D26" t="s">
        <v>270</v>
      </c>
      <c r="E26">
        <v>1</v>
      </c>
      <c r="F26">
        <v>1</v>
      </c>
    </row>
    <row r="27" spans="1:6" x14ac:dyDescent="0.35">
      <c r="A27" s="1" t="s">
        <v>25</v>
      </c>
      <c r="B27" t="s">
        <v>270</v>
      </c>
      <c r="C27">
        <v>1</v>
      </c>
      <c r="D27" t="s">
        <v>270</v>
      </c>
      <c r="E27" t="s">
        <v>270</v>
      </c>
      <c r="F27" t="s">
        <v>270</v>
      </c>
    </row>
    <row r="28" spans="1:6" x14ac:dyDescent="0.35">
      <c r="A28" s="1" t="s">
        <v>26</v>
      </c>
      <c r="B28" t="s">
        <v>270</v>
      </c>
      <c r="C28" t="s">
        <v>270</v>
      </c>
      <c r="D28" t="s">
        <v>270</v>
      </c>
      <c r="E28" t="s">
        <v>270</v>
      </c>
      <c r="F28">
        <v>1</v>
      </c>
    </row>
    <row r="29" spans="1:6" x14ac:dyDescent="0.35">
      <c r="A29" s="1" t="s">
        <v>27</v>
      </c>
      <c r="B29" t="s">
        <v>270</v>
      </c>
      <c r="C29" t="s">
        <v>270</v>
      </c>
      <c r="D29">
        <v>1</v>
      </c>
      <c r="E29" t="s">
        <v>270</v>
      </c>
      <c r="F29" t="s">
        <v>270</v>
      </c>
    </row>
    <row r="30" spans="1:6" x14ac:dyDescent="0.35">
      <c r="A30" s="1" t="s">
        <v>28</v>
      </c>
      <c r="B30">
        <v>1</v>
      </c>
      <c r="C30" t="s">
        <v>270</v>
      </c>
      <c r="D30">
        <v>1</v>
      </c>
      <c r="E30" t="s">
        <v>270</v>
      </c>
      <c r="F30">
        <v>1</v>
      </c>
    </row>
    <row r="31" spans="1:6" x14ac:dyDescent="0.35">
      <c r="A31" s="1" t="s">
        <v>29</v>
      </c>
      <c r="B31" t="s">
        <v>270</v>
      </c>
      <c r="C31" t="s">
        <v>270</v>
      </c>
      <c r="D31" t="s">
        <v>270</v>
      </c>
      <c r="E31">
        <v>1</v>
      </c>
      <c r="F31">
        <v>1</v>
      </c>
    </row>
    <row r="32" spans="1:6" x14ac:dyDescent="0.35">
      <c r="A32" s="1" t="s">
        <v>30</v>
      </c>
      <c r="B32">
        <v>1</v>
      </c>
      <c r="C32" t="s">
        <v>270</v>
      </c>
      <c r="D32" t="s">
        <v>270</v>
      </c>
      <c r="E32" t="s">
        <v>270</v>
      </c>
      <c r="F32" t="s">
        <v>270</v>
      </c>
    </row>
    <row r="33" spans="1:6" x14ac:dyDescent="0.35">
      <c r="A33" s="1" t="s">
        <v>31</v>
      </c>
      <c r="B33" t="s">
        <v>270</v>
      </c>
      <c r="C33">
        <v>1</v>
      </c>
      <c r="D33" t="s">
        <v>270</v>
      </c>
      <c r="E33" t="s">
        <v>270</v>
      </c>
      <c r="F33">
        <v>1</v>
      </c>
    </row>
    <row r="34" spans="1:6" x14ac:dyDescent="0.35">
      <c r="A34" s="1" t="s">
        <v>32</v>
      </c>
      <c r="B34">
        <v>1</v>
      </c>
      <c r="C34">
        <v>1</v>
      </c>
      <c r="D34">
        <v>1</v>
      </c>
      <c r="E34" t="s">
        <v>270</v>
      </c>
      <c r="F34">
        <v>1</v>
      </c>
    </row>
    <row r="35" spans="1:6" x14ac:dyDescent="0.35">
      <c r="A35" s="1" t="s">
        <v>33</v>
      </c>
      <c r="B35" t="s">
        <v>270</v>
      </c>
      <c r="C35">
        <v>1</v>
      </c>
      <c r="D35" t="s">
        <v>270</v>
      </c>
      <c r="E35" t="s">
        <v>270</v>
      </c>
      <c r="F35" t="s">
        <v>270</v>
      </c>
    </row>
    <row r="36" spans="1:6" x14ac:dyDescent="0.35">
      <c r="A36" s="1" t="s">
        <v>34</v>
      </c>
      <c r="B36" t="s">
        <v>270</v>
      </c>
      <c r="C36" t="s">
        <v>270</v>
      </c>
      <c r="D36" t="s">
        <v>270</v>
      </c>
      <c r="E36">
        <v>1</v>
      </c>
      <c r="F36">
        <v>1</v>
      </c>
    </row>
    <row r="37" spans="1:6" x14ac:dyDescent="0.35">
      <c r="A37" s="1" t="s">
        <v>35</v>
      </c>
      <c r="B37" t="s">
        <v>270</v>
      </c>
      <c r="C37" t="s">
        <v>270</v>
      </c>
      <c r="D37">
        <v>1</v>
      </c>
      <c r="E37" t="s">
        <v>270</v>
      </c>
      <c r="F37" t="s">
        <v>270</v>
      </c>
    </row>
    <row r="38" spans="1:6" x14ac:dyDescent="0.35">
      <c r="A38" s="1" t="s">
        <v>36</v>
      </c>
      <c r="B38">
        <v>1</v>
      </c>
      <c r="C38">
        <v>1</v>
      </c>
      <c r="D38">
        <v>1</v>
      </c>
      <c r="E38">
        <v>1</v>
      </c>
      <c r="F38">
        <v>1</v>
      </c>
    </row>
    <row r="39" spans="1:6" x14ac:dyDescent="0.35">
      <c r="A39" s="1" t="s">
        <v>37</v>
      </c>
      <c r="B39">
        <v>1</v>
      </c>
      <c r="C39" t="s">
        <v>270</v>
      </c>
      <c r="D39">
        <v>1</v>
      </c>
      <c r="E39">
        <v>1</v>
      </c>
      <c r="F39">
        <v>1</v>
      </c>
    </row>
    <row r="40" spans="1:6" x14ac:dyDescent="0.35">
      <c r="A40" s="1" t="s">
        <v>38</v>
      </c>
      <c r="B40" t="s">
        <v>270</v>
      </c>
      <c r="C40" t="s">
        <v>270</v>
      </c>
      <c r="D40" t="s">
        <v>270</v>
      </c>
      <c r="E40">
        <v>1</v>
      </c>
      <c r="F40">
        <v>1</v>
      </c>
    </row>
    <row r="41" spans="1:6" x14ac:dyDescent="0.35">
      <c r="A41" s="1" t="s">
        <v>39</v>
      </c>
      <c r="B41" t="s">
        <v>270</v>
      </c>
      <c r="C41">
        <v>1</v>
      </c>
      <c r="D41" t="s">
        <v>270</v>
      </c>
      <c r="E41">
        <v>1</v>
      </c>
      <c r="F41" t="s">
        <v>270</v>
      </c>
    </row>
    <row r="42" spans="1:6" x14ac:dyDescent="0.35">
      <c r="A42" s="1" t="s">
        <v>40</v>
      </c>
      <c r="B42">
        <v>1</v>
      </c>
      <c r="C42">
        <v>1</v>
      </c>
      <c r="D42">
        <v>1</v>
      </c>
      <c r="E42">
        <v>1</v>
      </c>
      <c r="F42">
        <v>1</v>
      </c>
    </row>
    <row r="43" spans="1:6" x14ac:dyDescent="0.35">
      <c r="A43" s="1" t="s">
        <v>41</v>
      </c>
      <c r="B43">
        <v>1</v>
      </c>
      <c r="C43" t="s">
        <v>270</v>
      </c>
      <c r="D43">
        <v>1</v>
      </c>
      <c r="E43" t="s">
        <v>270</v>
      </c>
      <c r="F43">
        <v>1</v>
      </c>
    </row>
    <row r="44" spans="1:6" x14ac:dyDescent="0.35">
      <c r="A44" s="1" t="s">
        <v>42</v>
      </c>
      <c r="B44" t="s">
        <v>270</v>
      </c>
      <c r="C44" t="s">
        <v>270</v>
      </c>
      <c r="D44">
        <v>1</v>
      </c>
      <c r="E44" t="s">
        <v>270</v>
      </c>
      <c r="F44" t="s">
        <v>270</v>
      </c>
    </row>
    <row r="45" spans="1:6" x14ac:dyDescent="0.35">
      <c r="A45" s="1" t="s">
        <v>43</v>
      </c>
      <c r="B45">
        <v>1</v>
      </c>
      <c r="C45">
        <v>1</v>
      </c>
      <c r="D45">
        <v>1</v>
      </c>
      <c r="E45" t="s">
        <v>270</v>
      </c>
      <c r="F45" t="s">
        <v>270</v>
      </c>
    </row>
    <row r="46" spans="1:6" x14ac:dyDescent="0.35">
      <c r="A46" s="1" t="s">
        <v>44</v>
      </c>
      <c r="B46">
        <v>1</v>
      </c>
      <c r="C46">
        <v>1</v>
      </c>
      <c r="D46">
        <v>1</v>
      </c>
      <c r="E46" t="s">
        <v>270</v>
      </c>
      <c r="F46" t="s">
        <v>270</v>
      </c>
    </row>
    <row r="47" spans="1:6" x14ac:dyDescent="0.35">
      <c r="A47" s="1" t="s">
        <v>45</v>
      </c>
      <c r="B47" t="s">
        <v>270</v>
      </c>
      <c r="C47" t="s">
        <v>270</v>
      </c>
      <c r="D47">
        <v>1</v>
      </c>
      <c r="E47">
        <v>1</v>
      </c>
      <c r="F47">
        <v>1</v>
      </c>
    </row>
    <row r="48" spans="1:6" x14ac:dyDescent="0.35">
      <c r="A48" s="1" t="s">
        <v>46</v>
      </c>
      <c r="B48">
        <v>1</v>
      </c>
      <c r="C48" t="s">
        <v>270</v>
      </c>
      <c r="D48">
        <v>1</v>
      </c>
      <c r="E48" t="s">
        <v>270</v>
      </c>
      <c r="F48" t="s">
        <v>270</v>
      </c>
    </row>
    <row r="49" spans="1:6" x14ac:dyDescent="0.35">
      <c r="A49" s="1" t="s">
        <v>47</v>
      </c>
      <c r="B49" t="s">
        <v>270</v>
      </c>
      <c r="C49" t="s">
        <v>270</v>
      </c>
      <c r="D49" t="s">
        <v>270</v>
      </c>
      <c r="E49" t="s">
        <v>270</v>
      </c>
      <c r="F49">
        <v>1</v>
      </c>
    </row>
    <row r="50" spans="1:6" x14ac:dyDescent="0.35">
      <c r="A50" s="1" t="s">
        <v>48</v>
      </c>
      <c r="B50" t="s">
        <v>270</v>
      </c>
      <c r="C50">
        <v>1</v>
      </c>
      <c r="D50">
        <v>1</v>
      </c>
      <c r="E50" t="s">
        <v>270</v>
      </c>
      <c r="F50">
        <v>1</v>
      </c>
    </row>
    <row r="51" spans="1:6" x14ac:dyDescent="0.35">
      <c r="A51" s="1" t="s">
        <v>49</v>
      </c>
      <c r="B51">
        <v>1</v>
      </c>
      <c r="C51" t="s">
        <v>270</v>
      </c>
      <c r="D51">
        <v>1</v>
      </c>
      <c r="E51" t="s">
        <v>270</v>
      </c>
      <c r="F51" t="s">
        <v>270</v>
      </c>
    </row>
    <row r="52" spans="1:6" x14ac:dyDescent="0.35">
      <c r="A52" s="1" t="s">
        <v>50</v>
      </c>
      <c r="B52" t="s">
        <v>270</v>
      </c>
      <c r="C52" t="s">
        <v>270</v>
      </c>
      <c r="D52">
        <v>1</v>
      </c>
      <c r="E52" t="s">
        <v>270</v>
      </c>
      <c r="F52" t="s">
        <v>270</v>
      </c>
    </row>
    <row r="53" spans="1:6" x14ac:dyDescent="0.35">
      <c r="A53" s="1" t="s">
        <v>51</v>
      </c>
      <c r="B53" t="s">
        <v>270</v>
      </c>
      <c r="C53" t="s">
        <v>270</v>
      </c>
      <c r="D53">
        <v>1</v>
      </c>
      <c r="E53">
        <v>1</v>
      </c>
      <c r="F53" t="s">
        <v>270</v>
      </c>
    </row>
    <row r="54" spans="1:6" x14ac:dyDescent="0.35">
      <c r="A54" s="1" t="s">
        <v>52</v>
      </c>
      <c r="B54" t="s">
        <v>270</v>
      </c>
      <c r="C54">
        <v>1</v>
      </c>
      <c r="D54">
        <v>1</v>
      </c>
      <c r="E54">
        <v>1</v>
      </c>
      <c r="F54">
        <v>1</v>
      </c>
    </row>
    <row r="55" spans="1:6" x14ac:dyDescent="0.35">
      <c r="A55" s="1" t="s">
        <v>53</v>
      </c>
      <c r="B55">
        <v>1</v>
      </c>
      <c r="C55">
        <v>1</v>
      </c>
      <c r="D55" t="s">
        <v>270</v>
      </c>
      <c r="E55">
        <v>1</v>
      </c>
      <c r="F55">
        <v>1</v>
      </c>
    </row>
    <row r="56" spans="1:6" x14ac:dyDescent="0.35">
      <c r="A56" s="1" t="s">
        <v>54</v>
      </c>
      <c r="B56">
        <v>1</v>
      </c>
      <c r="C56" t="s">
        <v>270</v>
      </c>
      <c r="D56">
        <v>1</v>
      </c>
      <c r="E56">
        <v>1</v>
      </c>
      <c r="F56">
        <v>1</v>
      </c>
    </row>
    <row r="57" spans="1:6" x14ac:dyDescent="0.35">
      <c r="A57" s="1" t="s">
        <v>55</v>
      </c>
      <c r="B57" t="s">
        <v>270</v>
      </c>
      <c r="C57">
        <v>1</v>
      </c>
      <c r="D57" t="s">
        <v>270</v>
      </c>
      <c r="E57" t="s">
        <v>270</v>
      </c>
      <c r="F57">
        <v>1</v>
      </c>
    </row>
    <row r="58" spans="1:6" x14ac:dyDescent="0.35">
      <c r="A58" s="1" t="s">
        <v>56</v>
      </c>
      <c r="B58">
        <v>1</v>
      </c>
      <c r="C58">
        <v>1</v>
      </c>
      <c r="D58">
        <v>1</v>
      </c>
      <c r="E58" t="s">
        <v>270</v>
      </c>
      <c r="F58">
        <v>1</v>
      </c>
    </row>
    <row r="59" spans="1:6" x14ac:dyDescent="0.35">
      <c r="A59" s="1" t="s">
        <v>57</v>
      </c>
      <c r="B59">
        <v>1</v>
      </c>
      <c r="C59">
        <v>1</v>
      </c>
      <c r="D59" t="s">
        <v>270</v>
      </c>
      <c r="E59" t="s">
        <v>270</v>
      </c>
      <c r="F59" t="s">
        <v>270</v>
      </c>
    </row>
    <row r="60" spans="1:6" x14ac:dyDescent="0.35">
      <c r="A60" s="1" t="s">
        <v>58</v>
      </c>
      <c r="B60">
        <v>1</v>
      </c>
      <c r="C60" t="s">
        <v>270</v>
      </c>
      <c r="D60">
        <v>1</v>
      </c>
      <c r="E60">
        <v>1</v>
      </c>
      <c r="F60" t="s">
        <v>270</v>
      </c>
    </row>
    <row r="61" spans="1:6" x14ac:dyDescent="0.35">
      <c r="A61" s="1" t="s">
        <v>59</v>
      </c>
      <c r="B61" t="s">
        <v>270</v>
      </c>
      <c r="C61">
        <v>1</v>
      </c>
      <c r="D61">
        <v>1</v>
      </c>
      <c r="E61">
        <v>1</v>
      </c>
      <c r="F61">
        <v>1</v>
      </c>
    </row>
    <row r="62" spans="1:6" x14ac:dyDescent="0.35">
      <c r="A62" s="1" t="s">
        <v>60</v>
      </c>
      <c r="B62" t="s">
        <v>270</v>
      </c>
      <c r="C62">
        <v>1</v>
      </c>
      <c r="D62">
        <v>1</v>
      </c>
      <c r="E62">
        <v>1</v>
      </c>
      <c r="F62" t="s">
        <v>270</v>
      </c>
    </row>
    <row r="63" spans="1:6" x14ac:dyDescent="0.35">
      <c r="A63" s="1" t="s">
        <v>61</v>
      </c>
      <c r="B63" t="s">
        <v>270</v>
      </c>
      <c r="C63">
        <v>1</v>
      </c>
      <c r="D63" t="s">
        <v>270</v>
      </c>
      <c r="E63">
        <v>1</v>
      </c>
      <c r="F63" t="s">
        <v>270</v>
      </c>
    </row>
    <row r="64" spans="1:6" x14ac:dyDescent="0.35">
      <c r="A64" s="1" t="s">
        <v>62</v>
      </c>
      <c r="B64" t="s">
        <v>270</v>
      </c>
      <c r="C64">
        <v>1</v>
      </c>
      <c r="D64">
        <v>1</v>
      </c>
      <c r="E64" t="s">
        <v>270</v>
      </c>
      <c r="F64">
        <v>1</v>
      </c>
    </row>
    <row r="65" spans="1:6" x14ac:dyDescent="0.35">
      <c r="A65" s="1" t="s">
        <v>63</v>
      </c>
      <c r="B65" t="s">
        <v>270</v>
      </c>
      <c r="C65">
        <v>1</v>
      </c>
      <c r="D65">
        <v>1</v>
      </c>
      <c r="E65">
        <v>1</v>
      </c>
      <c r="F65" t="s">
        <v>270</v>
      </c>
    </row>
    <row r="66" spans="1:6" x14ac:dyDescent="0.35">
      <c r="A66" s="1" t="s">
        <v>64</v>
      </c>
      <c r="B66" t="s">
        <v>270</v>
      </c>
      <c r="C66">
        <v>1</v>
      </c>
      <c r="D66">
        <v>1</v>
      </c>
      <c r="E66">
        <v>1</v>
      </c>
      <c r="F66">
        <v>1</v>
      </c>
    </row>
    <row r="67" spans="1:6" x14ac:dyDescent="0.35">
      <c r="A67" s="1" t="s">
        <v>65</v>
      </c>
      <c r="B67" t="s">
        <v>270</v>
      </c>
      <c r="C67">
        <v>1</v>
      </c>
      <c r="D67" t="s">
        <v>270</v>
      </c>
      <c r="E67" t="s">
        <v>270</v>
      </c>
      <c r="F67" t="s">
        <v>270</v>
      </c>
    </row>
    <row r="68" spans="1:6" x14ac:dyDescent="0.35">
      <c r="A68" s="1" t="s">
        <v>66</v>
      </c>
      <c r="B68" t="s">
        <v>270</v>
      </c>
      <c r="C68" t="s">
        <v>270</v>
      </c>
      <c r="D68">
        <v>1</v>
      </c>
      <c r="E68" t="s">
        <v>270</v>
      </c>
      <c r="F68">
        <v>1</v>
      </c>
    </row>
    <row r="69" spans="1:6" x14ac:dyDescent="0.35">
      <c r="A69" s="1" t="s">
        <v>67</v>
      </c>
      <c r="B69" t="s">
        <v>270</v>
      </c>
      <c r="C69">
        <v>1</v>
      </c>
      <c r="D69">
        <v>1</v>
      </c>
      <c r="E69" t="s">
        <v>270</v>
      </c>
      <c r="F69">
        <v>1</v>
      </c>
    </row>
    <row r="70" spans="1:6" x14ac:dyDescent="0.35">
      <c r="A70" s="1" t="s">
        <v>68</v>
      </c>
      <c r="B70">
        <v>1</v>
      </c>
      <c r="C70">
        <v>1</v>
      </c>
      <c r="D70">
        <v>1</v>
      </c>
      <c r="E70" t="s">
        <v>270</v>
      </c>
      <c r="F70" t="s">
        <v>270</v>
      </c>
    </row>
    <row r="71" spans="1:6" x14ac:dyDescent="0.35">
      <c r="A71" s="1" t="s">
        <v>69</v>
      </c>
      <c r="B71">
        <v>1</v>
      </c>
      <c r="C71" t="s">
        <v>270</v>
      </c>
      <c r="D71" t="s">
        <v>270</v>
      </c>
      <c r="E71">
        <v>1</v>
      </c>
      <c r="F71" t="s">
        <v>270</v>
      </c>
    </row>
    <row r="72" spans="1:6" x14ac:dyDescent="0.35">
      <c r="A72" s="1" t="s">
        <v>70</v>
      </c>
      <c r="B72" t="s">
        <v>270</v>
      </c>
      <c r="C72" t="s">
        <v>270</v>
      </c>
      <c r="D72" t="s">
        <v>270</v>
      </c>
      <c r="E72" t="s">
        <v>270</v>
      </c>
      <c r="F72">
        <v>1</v>
      </c>
    </row>
    <row r="73" spans="1:6" x14ac:dyDescent="0.35">
      <c r="A73" s="1" t="s">
        <v>71</v>
      </c>
      <c r="B73" t="s">
        <v>270</v>
      </c>
      <c r="C73">
        <v>1</v>
      </c>
      <c r="D73">
        <v>1</v>
      </c>
      <c r="E73" t="s">
        <v>270</v>
      </c>
      <c r="F73">
        <v>1</v>
      </c>
    </row>
    <row r="74" spans="1:6" x14ac:dyDescent="0.35">
      <c r="A74" s="1" t="s">
        <v>72</v>
      </c>
      <c r="B74">
        <v>1</v>
      </c>
      <c r="C74">
        <v>1</v>
      </c>
      <c r="D74">
        <v>1</v>
      </c>
      <c r="E74">
        <v>1</v>
      </c>
      <c r="F74" t="s">
        <v>270</v>
      </c>
    </row>
    <row r="75" spans="1:6" x14ac:dyDescent="0.35">
      <c r="A75" s="1" t="s">
        <v>73</v>
      </c>
      <c r="B75" t="s">
        <v>270</v>
      </c>
      <c r="C75">
        <v>1</v>
      </c>
      <c r="D75">
        <v>1</v>
      </c>
      <c r="E75" t="s">
        <v>270</v>
      </c>
      <c r="F75" t="s">
        <v>270</v>
      </c>
    </row>
    <row r="76" spans="1:6" x14ac:dyDescent="0.35">
      <c r="A76" s="1" t="s">
        <v>74</v>
      </c>
      <c r="B76">
        <v>1</v>
      </c>
      <c r="C76">
        <v>1</v>
      </c>
      <c r="D76" t="s">
        <v>270</v>
      </c>
      <c r="E76" t="s">
        <v>270</v>
      </c>
      <c r="F76">
        <v>1</v>
      </c>
    </row>
    <row r="77" spans="1:6" x14ac:dyDescent="0.35">
      <c r="A77" s="1" t="s">
        <v>75</v>
      </c>
      <c r="B77">
        <v>1</v>
      </c>
      <c r="C77">
        <v>1</v>
      </c>
      <c r="D77">
        <v>1</v>
      </c>
      <c r="E77">
        <v>1</v>
      </c>
      <c r="F77">
        <v>1</v>
      </c>
    </row>
    <row r="78" spans="1:6" x14ac:dyDescent="0.35">
      <c r="A78" s="1" t="s">
        <v>76</v>
      </c>
      <c r="B78" t="s">
        <v>270</v>
      </c>
      <c r="C78">
        <v>1</v>
      </c>
      <c r="D78" t="s">
        <v>270</v>
      </c>
      <c r="E78" t="s">
        <v>270</v>
      </c>
      <c r="F78" t="s">
        <v>270</v>
      </c>
    </row>
    <row r="79" spans="1:6" x14ac:dyDescent="0.35">
      <c r="A79" s="1" t="s">
        <v>77</v>
      </c>
      <c r="B79" t="s">
        <v>270</v>
      </c>
      <c r="C79">
        <v>1</v>
      </c>
      <c r="D79">
        <v>1</v>
      </c>
      <c r="E79" t="s">
        <v>270</v>
      </c>
      <c r="F79">
        <v>1</v>
      </c>
    </row>
    <row r="80" spans="1:6" x14ac:dyDescent="0.35">
      <c r="A80" s="1" t="s">
        <v>78</v>
      </c>
      <c r="B80" t="s">
        <v>270</v>
      </c>
      <c r="C80" t="s">
        <v>270</v>
      </c>
      <c r="D80" t="s">
        <v>270</v>
      </c>
      <c r="E80">
        <v>1</v>
      </c>
      <c r="F80">
        <v>1</v>
      </c>
    </row>
    <row r="81" spans="1:6" x14ac:dyDescent="0.35">
      <c r="A81" s="1" t="s">
        <v>79</v>
      </c>
      <c r="B81">
        <v>1</v>
      </c>
      <c r="C81">
        <v>1</v>
      </c>
      <c r="D81">
        <v>1</v>
      </c>
      <c r="E81">
        <v>1</v>
      </c>
      <c r="F81" t="s">
        <v>270</v>
      </c>
    </row>
    <row r="82" spans="1:6" x14ac:dyDescent="0.35">
      <c r="A82" s="1" t="s">
        <v>80</v>
      </c>
      <c r="B82" t="s">
        <v>270</v>
      </c>
      <c r="C82" t="s">
        <v>270</v>
      </c>
      <c r="D82" t="s">
        <v>270</v>
      </c>
      <c r="E82">
        <v>1</v>
      </c>
      <c r="F82" t="s">
        <v>270</v>
      </c>
    </row>
    <row r="83" spans="1:6" x14ac:dyDescent="0.35">
      <c r="A83" s="1" t="s">
        <v>81</v>
      </c>
      <c r="B83">
        <v>1</v>
      </c>
      <c r="C83">
        <v>1</v>
      </c>
      <c r="D83" t="s">
        <v>270</v>
      </c>
      <c r="E83" t="s">
        <v>270</v>
      </c>
      <c r="F83" t="s">
        <v>270</v>
      </c>
    </row>
    <row r="84" spans="1:6" x14ac:dyDescent="0.35">
      <c r="A84" s="1" t="s">
        <v>82</v>
      </c>
      <c r="B84" t="s">
        <v>270</v>
      </c>
      <c r="C84" t="s">
        <v>270</v>
      </c>
      <c r="D84" t="s">
        <v>270</v>
      </c>
      <c r="E84" t="s">
        <v>270</v>
      </c>
      <c r="F84" t="s">
        <v>270</v>
      </c>
    </row>
    <row r="85" spans="1:6" x14ac:dyDescent="0.35">
      <c r="A85" s="1" t="s">
        <v>83</v>
      </c>
      <c r="B85" t="s">
        <v>270</v>
      </c>
      <c r="C85">
        <v>1</v>
      </c>
      <c r="D85">
        <v>1</v>
      </c>
      <c r="E85">
        <v>1</v>
      </c>
      <c r="F85" t="s">
        <v>270</v>
      </c>
    </row>
    <row r="86" spans="1:6" x14ac:dyDescent="0.35">
      <c r="A86" s="1" t="s">
        <v>84</v>
      </c>
      <c r="B86">
        <v>1</v>
      </c>
      <c r="C86">
        <v>1</v>
      </c>
      <c r="D86" t="s">
        <v>270</v>
      </c>
      <c r="E86" t="s">
        <v>270</v>
      </c>
      <c r="F86">
        <v>1</v>
      </c>
    </row>
    <row r="87" spans="1:6" x14ac:dyDescent="0.35">
      <c r="A87" s="1" t="s">
        <v>85</v>
      </c>
      <c r="B87">
        <v>1</v>
      </c>
      <c r="C87">
        <v>1</v>
      </c>
      <c r="D87">
        <v>1</v>
      </c>
      <c r="E87">
        <v>1</v>
      </c>
      <c r="F87">
        <v>1</v>
      </c>
    </row>
    <row r="88" spans="1:6" x14ac:dyDescent="0.35">
      <c r="A88" s="1" t="s">
        <v>86</v>
      </c>
      <c r="B88" t="s">
        <v>270</v>
      </c>
      <c r="C88">
        <v>1</v>
      </c>
      <c r="D88" t="s">
        <v>270</v>
      </c>
      <c r="E88">
        <v>1</v>
      </c>
      <c r="F88">
        <v>1</v>
      </c>
    </row>
    <row r="89" spans="1:6" x14ac:dyDescent="0.35">
      <c r="A89" s="1" t="s">
        <v>87</v>
      </c>
      <c r="B89" t="s">
        <v>270</v>
      </c>
      <c r="C89">
        <v>1</v>
      </c>
      <c r="D89">
        <v>1</v>
      </c>
      <c r="E89">
        <v>1</v>
      </c>
      <c r="F89" t="s">
        <v>270</v>
      </c>
    </row>
    <row r="90" spans="1:6" x14ac:dyDescent="0.35">
      <c r="A90" s="1" t="s">
        <v>88</v>
      </c>
      <c r="B90" t="s">
        <v>270</v>
      </c>
      <c r="C90" t="s">
        <v>270</v>
      </c>
      <c r="D90" t="s">
        <v>270</v>
      </c>
      <c r="E90" t="s">
        <v>270</v>
      </c>
      <c r="F90">
        <v>1</v>
      </c>
    </row>
    <row r="91" spans="1:6" x14ac:dyDescent="0.35">
      <c r="A91" s="1" t="s">
        <v>89</v>
      </c>
      <c r="B91" t="s">
        <v>270</v>
      </c>
      <c r="C91" t="s">
        <v>270</v>
      </c>
      <c r="D91">
        <v>1</v>
      </c>
      <c r="E91">
        <v>1</v>
      </c>
      <c r="F91" t="s">
        <v>270</v>
      </c>
    </row>
    <row r="92" spans="1:6" x14ac:dyDescent="0.35">
      <c r="A92" s="1" t="s">
        <v>90</v>
      </c>
      <c r="B92">
        <v>1</v>
      </c>
      <c r="C92">
        <v>1</v>
      </c>
      <c r="D92" t="s">
        <v>270</v>
      </c>
      <c r="E92" t="s">
        <v>270</v>
      </c>
      <c r="F92">
        <v>1</v>
      </c>
    </row>
    <row r="93" spans="1:6" x14ac:dyDescent="0.35">
      <c r="A93" s="1" t="s">
        <v>91</v>
      </c>
      <c r="B93" t="s">
        <v>270</v>
      </c>
      <c r="C93">
        <v>1</v>
      </c>
      <c r="D93" t="s">
        <v>270</v>
      </c>
      <c r="E93">
        <v>1</v>
      </c>
      <c r="F93" t="s">
        <v>270</v>
      </c>
    </row>
    <row r="94" spans="1:6" x14ac:dyDescent="0.35">
      <c r="A94" s="1" t="s">
        <v>92</v>
      </c>
      <c r="B94">
        <v>1</v>
      </c>
      <c r="C94" t="s">
        <v>270</v>
      </c>
      <c r="D94" t="s">
        <v>270</v>
      </c>
      <c r="E94" t="s">
        <v>270</v>
      </c>
      <c r="F94" t="s">
        <v>270</v>
      </c>
    </row>
    <row r="95" spans="1:6" x14ac:dyDescent="0.35">
      <c r="A95" s="1" t="s">
        <v>93</v>
      </c>
      <c r="B95">
        <v>1</v>
      </c>
      <c r="C95">
        <v>1</v>
      </c>
      <c r="D95">
        <v>1</v>
      </c>
      <c r="E95" t="s">
        <v>270</v>
      </c>
      <c r="F95" t="s">
        <v>270</v>
      </c>
    </row>
    <row r="96" spans="1:6" x14ac:dyDescent="0.35">
      <c r="A96" s="1" t="s">
        <v>94</v>
      </c>
      <c r="B96">
        <v>1</v>
      </c>
      <c r="C96">
        <v>1</v>
      </c>
      <c r="D96" t="s">
        <v>270</v>
      </c>
      <c r="E96">
        <v>1</v>
      </c>
      <c r="F96" t="s">
        <v>270</v>
      </c>
    </row>
    <row r="97" spans="1:6" x14ac:dyDescent="0.35">
      <c r="A97" s="1" t="s">
        <v>95</v>
      </c>
      <c r="B97" t="s">
        <v>270</v>
      </c>
      <c r="C97" t="s">
        <v>270</v>
      </c>
      <c r="D97">
        <v>1</v>
      </c>
      <c r="E97">
        <v>1</v>
      </c>
      <c r="F97" t="s">
        <v>270</v>
      </c>
    </row>
    <row r="98" spans="1:6" x14ac:dyDescent="0.35">
      <c r="A98" s="1" t="s">
        <v>96</v>
      </c>
      <c r="B98" t="s">
        <v>270</v>
      </c>
      <c r="C98">
        <v>1</v>
      </c>
      <c r="D98">
        <v>1</v>
      </c>
      <c r="E98" t="s">
        <v>270</v>
      </c>
      <c r="F98">
        <v>1</v>
      </c>
    </row>
    <row r="99" spans="1:6" x14ac:dyDescent="0.35">
      <c r="A99" s="1" t="s">
        <v>97</v>
      </c>
      <c r="B99" t="s">
        <v>270</v>
      </c>
      <c r="C99">
        <v>1</v>
      </c>
      <c r="D99" t="s">
        <v>270</v>
      </c>
      <c r="E99" t="s">
        <v>270</v>
      </c>
      <c r="F99" t="s">
        <v>270</v>
      </c>
    </row>
    <row r="100" spans="1:6" x14ac:dyDescent="0.35">
      <c r="A100" s="1" t="s">
        <v>98</v>
      </c>
      <c r="B100" t="s">
        <v>270</v>
      </c>
      <c r="C100">
        <v>1</v>
      </c>
      <c r="D100">
        <v>1</v>
      </c>
      <c r="E100" t="s">
        <v>270</v>
      </c>
      <c r="F100">
        <v>1</v>
      </c>
    </row>
    <row r="101" spans="1:6" x14ac:dyDescent="0.35">
      <c r="A101" s="1" t="s">
        <v>99</v>
      </c>
      <c r="B101">
        <v>1</v>
      </c>
      <c r="C101" t="s">
        <v>270</v>
      </c>
      <c r="D101" t="s">
        <v>270</v>
      </c>
      <c r="E101">
        <v>1</v>
      </c>
      <c r="F101" t="s">
        <v>270</v>
      </c>
    </row>
    <row r="102" spans="1:6" x14ac:dyDescent="0.35">
      <c r="A102" s="1" t="s">
        <v>100</v>
      </c>
      <c r="B102" t="s">
        <v>270</v>
      </c>
      <c r="C102">
        <v>1</v>
      </c>
      <c r="D102">
        <v>1</v>
      </c>
      <c r="E102" t="s">
        <v>270</v>
      </c>
      <c r="F102" t="s">
        <v>270</v>
      </c>
    </row>
    <row r="103" spans="1:6" x14ac:dyDescent="0.35">
      <c r="A103" s="1" t="s">
        <v>101</v>
      </c>
      <c r="B103">
        <v>1</v>
      </c>
      <c r="C103" t="s">
        <v>270</v>
      </c>
      <c r="D103" t="s">
        <v>270</v>
      </c>
      <c r="E103" t="s">
        <v>270</v>
      </c>
      <c r="F103">
        <v>1</v>
      </c>
    </row>
    <row r="104" spans="1:6" x14ac:dyDescent="0.35">
      <c r="A104" s="1" t="s">
        <v>102</v>
      </c>
      <c r="B104">
        <v>1</v>
      </c>
      <c r="C104" t="s">
        <v>270</v>
      </c>
      <c r="D104" t="s">
        <v>270</v>
      </c>
      <c r="E104">
        <v>1</v>
      </c>
      <c r="F104" t="s">
        <v>270</v>
      </c>
    </row>
    <row r="105" spans="1:6" x14ac:dyDescent="0.35">
      <c r="A105" s="1" t="s">
        <v>103</v>
      </c>
      <c r="B105" t="s">
        <v>270</v>
      </c>
      <c r="C105">
        <v>1</v>
      </c>
      <c r="D105">
        <v>1</v>
      </c>
      <c r="E105" t="s">
        <v>270</v>
      </c>
      <c r="F105" t="s">
        <v>270</v>
      </c>
    </row>
    <row r="106" spans="1:6" x14ac:dyDescent="0.35">
      <c r="A106" s="1" t="s">
        <v>104</v>
      </c>
      <c r="B106">
        <v>1</v>
      </c>
      <c r="C106" t="s">
        <v>270</v>
      </c>
      <c r="D106">
        <v>1</v>
      </c>
      <c r="E106">
        <v>1</v>
      </c>
      <c r="F106" t="s">
        <v>270</v>
      </c>
    </row>
    <row r="107" spans="1:6" x14ac:dyDescent="0.35">
      <c r="A107" s="1" t="s">
        <v>105</v>
      </c>
      <c r="B107" t="s">
        <v>270</v>
      </c>
      <c r="C107" t="s">
        <v>270</v>
      </c>
      <c r="D107">
        <v>1</v>
      </c>
      <c r="E107">
        <v>1</v>
      </c>
      <c r="F107" t="s">
        <v>270</v>
      </c>
    </row>
    <row r="108" spans="1:6" x14ac:dyDescent="0.35">
      <c r="A108" s="1" t="s">
        <v>106</v>
      </c>
      <c r="B108" t="s">
        <v>270</v>
      </c>
      <c r="C108" t="s">
        <v>270</v>
      </c>
      <c r="D108">
        <v>1</v>
      </c>
      <c r="E108" t="s">
        <v>270</v>
      </c>
      <c r="F108" t="s">
        <v>270</v>
      </c>
    </row>
    <row r="109" spans="1:6" x14ac:dyDescent="0.35">
      <c r="A109" s="1" t="s">
        <v>107</v>
      </c>
      <c r="B109" t="s">
        <v>270</v>
      </c>
      <c r="C109" t="s">
        <v>270</v>
      </c>
      <c r="D109">
        <v>1</v>
      </c>
      <c r="E109">
        <v>1</v>
      </c>
      <c r="F109" t="s">
        <v>270</v>
      </c>
    </row>
    <row r="110" spans="1:6" x14ac:dyDescent="0.35">
      <c r="A110" s="1" t="s">
        <v>108</v>
      </c>
      <c r="B110">
        <v>1</v>
      </c>
      <c r="C110">
        <v>1</v>
      </c>
      <c r="D110">
        <v>1</v>
      </c>
      <c r="E110" t="s">
        <v>270</v>
      </c>
      <c r="F110">
        <v>1</v>
      </c>
    </row>
    <row r="111" spans="1:6" x14ac:dyDescent="0.35">
      <c r="A111" s="1" t="s">
        <v>109</v>
      </c>
      <c r="B111" t="s">
        <v>270</v>
      </c>
      <c r="C111">
        <v>1</v>
      </c>
      <c r="D111" t="s">
        <v>270</v>
      </c>
      <c r="E111">
        <v>1</v>
      </c>
      <c r="F111" t="s">
        <v>270</v>
      </c>
    </row>
    <row r="112" spans="1:6" x14ac:dyDescent="0.35">
      <c r="A112" s="1" t="s">
        <v>110</v>
      </c>
      <c r="B112" t="s">
        <v>270</v>
      </c>
      <c r="C112">
        <v>1</v>
      </c>
      <c r="D112" t="s">
        <v>270</v>
      </c>
      <c r="E112">
        <v>1</v>
      </c>
      <c r="F112">
        <v>1</v>
      </c>
    </row>
    <row r="113" spans="1:6" x14ac:dyDescent="0.35">
      <c r="A113" s="1" t="s">
        <v>111</v>
      </c>
      <c r="B113" t="s">
        <v>270</v>
      </c>
      <c r="C113" t="s">
        <v>270</v>
      </c>
      <c r="D113" t="s">
        <v>270</v>
      </c>
      <c r="E113" t="s">
        <v>270</v>
      </c>
      <c r="F113" t="s">
        <v>270</v>
      </c>
    </row>
    <row r="114" spans="1:6" x14ac:dyDescent="0.35">
      <c r="A114" s="1" t="s">
        <v>112</v>
      </c>
      <c r="B114">
        <v>1</v>
      </c>
      <c r="C114">
        <v>1</v>
      </c>
      <c r="D114" t="s">
        <v>270</v>
      </c>
      <c r="E114" t="s">
        <v>270</v>
      </c>
      <c r="F114" t="s">
        <v>270</v>
      </c>
    </row>
    <row r="115" spans="1:6" x14ac:dyDescent="0.35">
      <c r="A115" s="1" t="s">
        <v>113</v>
      </c>
      <c r="B115" t="s">
        <v>270</v>
      </c>
      <c r="C115" t="s">
        <v>270</v>
      </c>
      <c r="D115">
        <v>1</v>
      </c>
      <c r="E115">
        <v>1</v>
      </c>
      <c r="F115">
        <v>1</v>
      </c>
    </row>
    <row r="116" spans="1:6" x14ac:dyDescent="0.35">
      <c r="A116" s="1" t="s">
        <v>114</v>
      </c>
      <c r="B116" t="s">
        <v>270</v>
      </c>
      <c r="C116">
        <v>1</v>
      </c>
      <c r="D116" t="s">
        <v>270</v>
      </c>
      <c r="E116">
        <v>1</v>
      </c>
      <c r="F116">
        <v>1</v>
      </c>
    </row>
    <row r="117" spans="1:6" x14ac:dyDescent="0.35">
      <c r="A117" s="1" t="s">
        <v>115</v>
      </c>
      <c r="B117" t="s">
        <v>270</v>
      </c>
      <c r="C117">
        <v>1</v>
      </c>
      <c r="D117">
        <v>1</v>
      </c>
      <c r="E117">
        <v>1</v>
      </c>
      <c r="F117">
        <v>1</v>
      </c>
    </row>
    <row r="118" spans="1:6" x14ac:dyDescent="0.35">
      <c r="A118" s="1" t="s">
        <v>116</v>
      </c>
      <c r="B118">
        <v>1</v>
      </c>
      <c r="C118" t="s">
        <v>270</v>
      </c>
      <c r="D118" t="s">
        <v>270</v>
      </c>
      <c r="E118">
        <v>1</v>
      </c>
      <c r="F118" t="s">
        <v>270</v>
      </c>
    </row>
    <row r="119" spans="1:6" x14ac:dyDescent="0.35">
      <c r="A119" s="1" t="s">
        <v>117</v>
      </c>
      <c r="B119">
        <v>1</v>
      </c>
      <c r="C119" t="s">
        <v>270</v>
      </c>
      <c r="D119" t="s">
        <v>270</v>
      </c>
      <c r="E119">
        <v>1</v>
      </c>
      <c r="F119">
        <v>1</v>
      </c>
    </row>
    <row r="120" spans="1:6" x14ac:dyDescent="0.35">
      <c r="A120" s="1" t="s">
        <v>118</v>
      </c>
      <c r="B120">
        <v>1</v>
      </c>
      <c r="C120" t="s">
        <v>270</v>
      </c>
      <c r="D120" t="s">
        <v>270</v>
      </c>
      <c r="E120" t="s">
        <v>270</v>
      </c>
      <c r="F120">
        <v>1</v>
      </c>
    </row>
    <row r="121" spans="1:6" x14ac:dyDescent="0.35">
      <c r="A121" s="1" t="s">
        <v>119</v>
      </c>
      <c r="B121">
        <v>1</v>
      </c>
      <c r="C121">
        <v>1</v>
      </c>
      <c r="D121" t="s">
        <v>270</v>
      </c>
      <c r="E121" t="s">
        <v>270</v>
      </c>
      <c r="F121">
        <v>1</v>
      </c>
    </row>
    <row r="122" spans="1:6" x14ac:dyDescent="0.35">
      <c r="A122" s="1" t="s">
        <v>120</v>
      </c>
      <c r="B122" t="s">
        <v>270</v>
      </c>
      <c r="C122">
        <v>1</v>
      </c>
      <c r="D122" t="s">
        <v>270</v>
      </c>
      <c r="E122" t="s">
        <v>270</v>
      </c>
      <c r="F122" t="s">
        <v>270</v>
      </c>
    </row>
    <row r="123" spans="1:6" x14ac:dyDescent="0.35">
      <c r="A123" s="1" t="s">
        <v>121</v>
      </c>
      <c r="B123" t="s">
        <v>270</v>
      </c>
      <c r="C123" t="s">
        <v>270</v>
      </c>
      <c r="D123" t="s">
        <v>270</v>
      </c>
      <c r="E123" t="s">
        <v>270</v>
      </c>
      <c r="F123" t="s">
        <v>270</v>
      </c>
    </row>
    <row r="124" spans="1:6" x14ac:dyDescent="0.35">
      <c r="A124" s="1" t="s">
        <v>122</v>
      </c>
      <c r="B124" t="s">
        <v>270</v>
      </c>
      <c r="C124">
        <v>1</v>
      </c>
      <c r="D124" t="s">
        <v>270</v>
      </c>
      <c r="E124">
        <v>1</v>
      </c>
      <c r="F124">
        <v>1</v>
      </c>
    </row>
    <row r="125" spans="1:6" x14ac:dyDescent="0.35">
      <c r="A125" s="1" t="s">
        <v>123</v>
      </c>
      <c r="B125" t="s">
        <v>270</v>
      </c>
      <c r="C125">
        <v>1</v>
      </c>
      <c r="D125" t="s">
        <v>270</v>
      </c>
      <c r="E125">
        <v>1</v>
      </c>
      <c r="F125" t="s">
        <v>270</v>
      </c>
    </row>
    <row r="126" spans="1:6" x14ac:dyDescent="0.35">
      <c r="A126" s="1" t="s">
        <v>124</v>
      </c>
      <c r="B126" t="s">
        <v>270</v>
      </c>
      <c r="C126">
        <v>1</v>
      </c>
      <c r="D126">
        <v>1</v>
      </c>
      <c r="E126">
        <v>1</v>
      </c>
      <c r="F126" t="s">
        <v>270</v>
      </c>
    </row>
    <row r="127" spans="1:6" x14ac:dyDescent="0.35">
      <c r="A127" s="1" t="s">
        <v>125</v>
      </c>
      <c r="B127" t="s">
        <v>270</v>
      </c>
      <c r="C127">
        <v>1</v>
      </c>
      <c r="D127">
        <v>1</v>
      </c>
      <c r="E127">
        <v>1</v>
      </c>
      <c r="F127" t="s">
        <v>270</v>
      </c>
    </row>
    <row r="128" spans="1:6" x14ac:dyDescent="0.35">
      <c r="A128" s="1" t="s">
        <v>126</v>
      </c>
      <c r="B128" t="s">
        <v>270</v>
      </c>
      <c r="C128">
        <v>1</v>
      </c>
      <c r="D128">
        <v>1</v>
      </c>
      <c r="E128">
        <v>1</v>
      </c>
      <c r="F128" t="s">
        <v>270</v>
      </c>
    </row>
    <row r="129" spans="1:6" x14ac:dyDescent="0.35">
      <c r="A129" s="1" t="s">
        <v>127</v>
      </c>
      <c r="B129" t="s">
        <v>270</v>
      </c>
      <c r="C129" t="s">
        <v>270</v>
      </c>
      <c r="D129">
        <v>1</v>
      </c>
      <c r="E129" t="s">
        <v>270</v>
      </c>
      <c r="F129">
        <v>1</v>
      </c>
    </row>
    <row r="130" spans="1:6" x14ac:dyDescent="0.35">
      <c r="A130" s="1" t="s">
        <v>128</v>
      </c>
      <c r="B130" t="s">
        <v>270</v>
      </c>
      <c r="C130">
        <v>1</v>
      </c>
      <c r="D130" t="s">
        <v>270</v>
      </c>
      <c r="E130">
        <v>1</v>
      </c>
      <c r="F130" t="s">
        <v>270</v>
      </c>
    </row>
    <row r="131" spans="1:6" x14ac:dyDescent="0.35">
      <c r="A131" s="1" t="s">
        <v>129</v>
      </c>
      <c r="B131" t="s">
        <v>270</v>
      </c>
      <c r="C131" t="s">
        <v>270</v>
      </c>
      <c r="D131" t="s">
        <v>270</v>
      </c>
      <c r="E131">
        <v>1</v>
      </c>
      <c r="F131" t="s">
        <v>270</v>
      </c>
    </row>
    <row r="132" spans="1:6" x14ac:dyDescent="0.35">
      <c r="A132" s="1" t="s">
        <v>130</v>
      </c>
      <c r="B132">
        <v>1</v>
      </c>
      <c r="C132" t="s">
        <v>270</v>
      </c>
      <c r="D132">
        <v>1</v>
      </c>
      <c r="E132">
        <v>1</v>
      </c>
      <c r="F132">
        <v>1</v>
      </c>
    </row>
    <row r="133" spans="1:6" x14ac:dyDescent="0.35">
      <c r="A133" s="1" t="s">
        <v>131</v>
      </c>
      <c r="B133">
        <v>1</v>
      </c>
      <c r="C133">
        <v>1</v>
      </c>
      <c r="D133" t="s">
        <v>270</v>
      </c>
      <c r="E133">
        <v>1</v>
      </c>
      <c r="F133" t="s">
        <v>270</v>
      </c>
    </row>
    <row r="134" spans="1:6" x14ac:dyDescent="0.35">
      <c r="A134" s="1" t="s">
        <v>132</v>
      </c>
      <c r="B134">
        <v>1</v>
      </c>
      <c r="C134">
        <v>1</v>
      </c>
      <c r="D134" t="s">
        <v>270</v>
      </c>
      <c r="E134">
        <v>1</v>
      </c>
      <c r="F134" t="s">
        <v>270</v>
      </c>
    </row>
    <row r="135" spans="1:6" x14ac:dyDescent="0.35">
      <c r="A135" s="1" t="s">
        <v>133</v>
      </c>
      <c r="B135">
        <v>1</v>
      </c>
      <c r="C135">
        <v>1</v>
      </c>
      <c r="D135">
        <v>1</v>
      </c>
      <c r="E135">
        <v>1</v>
      </c>
      <c r="F135">
        <v>1</v>
      </c>
    </row>
    <row r="136" spans="1:6" x14ac:dyDescent="0.35">
      <c r="A136" s="1" t="s">
        <v>134</v>
      </c>
      <c r="B136" t="s">
        <v>270</v>
      </c>
      <c r="C136" t="s">
        <v>270</v>
      </c>
      <c r="D136">
        <v>1</v>
      </c>
      <c r="E136">
        <v>1</v>
      </c>
      <c r="F136">
        <v>1</v>
      </c>
    </row>
    <row r="137" spans="1:6" x14ac:dyDescent="0.35">
      <c r="A137" s="1" t="s">
        <v>135</v>
      </c>
      <c r="B137">
        <v>1</v>
      </c>
      <c r="C137" t="s">
        <v>270</v>
      </c>
      <c r="D137">
        <v>1</v>
      </c>
      <c r="E137">
        <v>1</v>
      </c>
      <c r="F137">
        <v>1</v>
      </c>
    </row>
    <row r="138" spans="1:6" x14ac:dyDescent="0.35">
      <c r="A138" s="1" t="s">
        <v>136</v>
      </c>
      <c r="B138">
        <v>1</v>
      </c>
      <c r="C138" t="s">
        <v>270</v>
      </c>
      <c r="D138">
        <v>1</v>
      </c>
      <c r="E138" t="s">
        <v>270</v>
      </c>
      <c r="F138">
        <v>1</v>
      </c>
    </row>
    <row r="139" spans="1:6" x14ac:dyDescent="0.35">
      <c r="A139" s="1" t="s">
        <v>137</v>
      </c>
      <c r="B139" t="s">
        <v>270</v>
      </c>
      <c r="C139">
        <v>1</v>
      </c>
      <c r="D139">
        <v>1</v>
      </c>
      <c r="E139">
        <v>1</v>
      </c>
      <c r="F139" t="s">
        <v>270</v>
      </c>
    </row>
    <row r="140" spans="1:6" x14ac:dyDescent="0.35">
      <c r="A140" s="1" t="s">
        <v>138</v>
      </c>
      <c r="B140" t="s">
        <v>270</v>
      </c>
      <c r="C140" t="s">
        <v>270</v>
      </c>
      <c r="D140" t="s">
        <v>270</v>
      </c>
      <c r="E140" t="s">
        <v>270</v>
      </c>
      <c r="F140">
        <v>1</v>
      </c>
    </row>
    <row r="141" spans="1:6" x14ac:dyDescent="0.35">
      <c r="A141" s="1" t="s">
        <v>139</v>
      </c>
      <c r="B141" t="s">
        <v>270</v>
      </c>
      <c r="C141">
        <v>1</v>
      </c>
      <c r="D141" t="s">
        <v>270</v>
      </c>
      <c r="E141">
        <v>1</v>
      </c>
      <c r="F141" t="s">
        <v>270</v>
      </c>
    </row>
    <row r="142" spans="1:6" x14ac:dyDescent="0.35">
      <c r="A142" s="1" t="s">
        <v>140</v>
      </c>
      <c r="B142" t="s">
        <v>270</v>
      </c>
      <c r="C142">
        <v>1</v>
      </c>
      <c r="D142">
        <v>1</v>
      </c>
      <c r="E142" t="s">
        <v>270</v>
      </c>
      <c r="F142">
        <v>1</v>
      </c>
    </row>
    <row r="143" spans="1:6" x14ac:dyDescent="0.35">
      <c r="A143" s="1" t="s">
        <v>141</v>
      </c>
      <c r="B143">
        <v>1</v>
      </c>
      <c r="C143">
        <v>1</v>
      </c>
      <c r="D143" t="s">
        <v>270</v>
      </c>
      <c r="E143">
        <v>1</v>
      </c>
      <c r="F143">
        <v>1</v>
      </c>
    </row>
    <row r="144" spans="1:6" x14ac:dyDescent="0.35">
      <c r="A144" s="1" t="s">
        <v>142</v>
      </c>
      <c r="B144" t="s">
        <v>270</v>
      </c>
      <c r="C144">
        <v>1</v>
      </c>
      <c r="D144" t="s">
        <v>270</v>
      </c>
      <c r="E144">
        <v>1</v>
      </c>
      <c r="F144" t="s">
        <v>270</v>
      </c>
    </row>
    <row r="145" spans="1:6" x14ac:dyDescent="0.35">
      <c r="A145" s="1" t="s">
        <v>143</v>
      </c>
      <c r="B145" t="s">
        <v>270</v>
      </c>
      <c r="C145" t="s">
        <v>270</v>
      </c>
      <c r="D145">
        <v>1</v>
      </c>
      <c r="E145" t="s">
        <v>270</v>
      </c>
      <c r="F145">
        <v>1</v>
      </c>
    </row>
    <row r="146" spans="1:6" x14ac:dyDescent="0.35">
      <c r="A146" s="1" t="s">
        <v>144</v>
      </c>
      <c r="B146" t="s">
        <v>270</v>
      </c>
      <c r="C146" t="s">
        <v>270</v>
      </c>
      <c r="D146">
        <v>1</v>
      </c>
      <c r="E146">
        <v>1</v>
      </c>
      <c r="F146" t="s">
        <v>270</v>
      </c>
    </row>
    <row r="147" spans="1:6" x14ac:dyDescent="0.35">
      <c r="A147" s="1" t="s">
        <v>145</v>
      </c>
      <c r="B147">
        <v>1</v>
      </c>
      <c r="C147" t="s">
        <v>270</v>
      </c>
      <c r="D147" t="s">
        <v>270</v>
      </c>
      <c r="E147">
        <v>1</v>
      </c>
      <c r="F147" t="s">
        <v>270</v>
      </c>
    </row>
    <row r="148" spans="1:6" x14ac:dyDescent="0.35">
      <c r="A148" s="1" t="s">
        <v>146</v>
      </c>
      <c r="B148" t="s">
        <v>270</v>
      </c>
      <c r="C148">
        <v>1</v>
      </c>
      <c r="D148">
        <v>1</v>
      </c>
      <c r="E148" t="s">
        <v>270</v>
      </c>
      <c r="F148" t="s">
        <v>270</v>
      </c>
    </row>
    <row r="149" spans="1:6" x14ac:dyDescent="0.35">
      <c r="A149" s="1" t="s">
        <v>147</v>
      </c>
      <c r="B149">
        <v>1</v>
      </c>
      <c r="C149">
        <v>1</v>
      </c>
      <c r="D149">
        <v>1</v>
      </c>
      <c r="E149" t="s">
        <v>270</v>
      </c>
      <c r="F149" t="s">
        <v>270</v>
      </c>
    </row>
    <row r="150" spans="1:6" x14ac:dyDescent="0.35">
      <c r="A150" s="1" t="s">
        <v>148</v>
      </c>
      <c r="B150" t="s">
        <v>270</v>
      </c>
      <c r="C150" t="s">
        <v>270</v>
      </c>
      <c r="D150" t="s">
        <v>270</v>
      </c>
      <c r="E150">
        <v>1</v>
      </c>
      <c r="F150" t="s">
        <v>270</v>
      </c>
    </row>
    <row r="151" spans="1:6" x14ac:dyDescent="0.35">
      <c r="A151" s="1" t="s">
        <v>149</v>
      </c>
      <c r="B151">
        <v>1</v>
      </c>
      <c r="C151" t="s">
        <v>270</v>
      </c>
      <c r="D151" t="s">
        <v>270</v>
      </c>
      <c r="E151" t="s">
        <v>270</v>
      </c>
      <c r="F151" t="s">
        <v>270</v>
      </c>
    </row>
    <row r="152" spans="1:6" x14ac:dyDescent="0.35">
      <c r="A152" s="1" t="s">
        <v>150</v>
      </c>
      <c r="B152">
        <v>1</v>
      </c>
      <c r="C152">
        <v>1</v>
      </c>
      <c r="D152">
        <v>1</v>
      </c>
      <c r="E152">
        <v>1</v>
      </c>
      <c r="F152" t="s">
        <v>270</v>
      </c>
    </row>
    <row r="153" spans="1:6" x14ac:dyDescent="0.35">
      <c r="A153" s="1" t="s">
        <v>151</v>
      </c>
      <c r="B153" t="s">
        <v>270</v>
      </c>
      <c r="C153" t="s">
        <v>270</v>
      </c>
      <c r="D153">
        <v>1</v>
      </c>
      <c r="E153" t="s">
        <v>270</v>
      </c>
      <c r="F153" t="s">
        <v>270</v>
      </c>
    </row>
    <row r="154" spans="1:6" x14ac:dyDescent="0.35">
      <c r="A154" s="1" t="s">
        <v>152</v>
      </c>
      <c r="B154">
        <v>1</v>
      </c>
      <c r="C154" t="s">
        <v>270</v>
      </c>
      <c r="D154">
        <v>1</v>
      </c>
      <c r="E154">
        <v>1</v>
      </c>
      <c r="F154" t="s">
        <v>270</v>
      </c>
    </row>
    <row r="155" spans="1:6" x14ac:dyDescent="0.35">
      <c r="A155" s="1" t="s">
        <v>153</v>
      </c>
      <c r="B155" t="s">
        <v>270</v>
      </c>
      <c r="C155" t="s">
        <v>270</v>
      </c>
      <c r="D155">
        <v>1</v>
      </c>
      <c r="E155">
        <v>1</v>
      </c>
      <c r="F155" t="s">
        <v>270</v>
      </c>
    </row>
    <row r="156" spans="1:6" x14ac:dyDescent="0.35">
      <c r="A156" s="1" t="s">
        <v>154</v>
      </c>
      <c r="B156">
        <v>1</v>
      </c>
      <c r="C156">
        <v>1</v>
      </c>
      <c r="D156" t="s">
        <v>270</v>
      </c>
      <c r="E156">
        <v>1</v>
      </c>
      <c r="F156">
        <v>1</v>
      </c>
    </row>
    <row r="157" spans="1:6" x14ac:dyDescent="0.35">
      <c r="A157" s="1" t="s">
        <v>155</v>
      </c>
      <c r="B157">
        <v>1</v>
      </c>
      <c r="C157" t="s">
        <v>270</v>
      </c>
      <c r="D157" t="s">
        <v>270</v>
      </c>
      <c r="E157">
        <v>1</v>
      </c>
      <c r="F157">
        <v>1</v>
      </c>
    </row>
    <row r="158" spans="1:6" x14ac:dyDescent="0.35">
      <c r="A158" s="1" t="s">
        <v>156</v>
      </c>
      <c r="B158" t="s">
        <v>270</v>
      </c>
      <c r="C158">
        <v>1</v>
      </c>
      <c r="D158" t="s">
        <v>270</v>
      </c>
      <c r="E158">
        <v>1</v>
      </c>
      <c r="F158">
        <v>1</v>
      </c>
    </row>
    <row r="159" spans="1:6" x14ac:dyDescent="0.35">
      <c r="A159" s="1" t="s">
        <v>157</v>
      </c>
      <c r="B159">
        <v>1</v>
      </c>
      <c r="C159">
        <v>1</v>
      </c>
      <c r="D159">
        <v>1</v>
      </c>
      <c r="E159">
        <v>1</v>
      </c>
      <c r="F159">
        <v>1</v>
      </c>
    </row>
    <row r="160" spans="1:6" x14ac:dyDescent="0.35">
      <c r="A160" s="1" t="s">
        <v>158</v>
      </c>
      <c r="B160">
        <v>1</v>
      </c>
      <c r="C160" t="s">
        <v>270</v>
      </c>
      <c r="D160" t="s">
        <v>270</v>
      </c>
      <c r="E160">
        <v>1</v>
      </c>
      <c r="F160" t="s">
        <v>270</v>
      </c>
    </row>
    <row r="161" spans="1:6" x14ac:dyDescent="0.35">
      <c r="A161" s="1" t="s">
        <v>159</v>
      </c>
      <c r="B161" t="s">
        <v>270</v>
      </c>
      <c r="C161">
        <v>1</v>
      </c>
      <c r="D161">
        <v>1</v>
      </c>
      <c r="E161" t="s">
        <v>270</v>
      </c>
      <c r="F161" t="s">
        <v>270</v>
      </c>
    </row>
    <row r="162" spans="1:6" x14ac:dyDescent="0.35">
      <c r="A162" s="1" t="s">
        <v>160</v>
      </c>
      <c r="B162">
        <v>1</v>
      </c>
      <c r="C162" t="s">
        <v>270</v>
      </c>
      <c r="D162">
        <v>1</v>
      </c>
      <c r="E162">
        <v>1</v>
      </c>
      <c r="F162">
        <v>1</v>
      </c>
    </row>
    <row r="163" spans="1:6" x14ac:dyDescent="0.35">
      <c r="A163" s="1" t="s">
        <v>161</v>
      </c>
      <c r="B163" t="s">
        <v>270</v>
      </c>
      <c r="C163" t="s">
        <v>270</v>
      </c>
      <c r="D163">
        <v>1</v>
      </c>
      <c r="E163">
        <v>1</v>
      </c>
      <c r="F163" t="s">
        <v>270</v>
      </c>
    </row>
    <row r="164" spans="1:6" x14ac:dyDescent="0.35">
      <c r="A164" s="1" t="s">
        <v>162</v>
      </c>
      <c r="B164" t="s">
        <v>270</v>
      </c>
      <c r="C164" t="s">
        <v>270</v>
      </c>
      <c r="D164" t="s">
        <v>270</v>
      </c>
      <c r="E164" t="s">
        <v>270</v>
      </c>
      <c r="F164" t="s">
        <v>270</v>
      </c>
    </row>
    <row r="165" spans="1:6" x14ac:dyDescent="0.35">
      <c r="A165" s="1" t="s">
        <v>163</v>
      </c>
      <c r="B165" t="s">
        <v>270</v>
      </c>
      <c r="C165">
        <v>1</v>
      </c>
      <c r="D165" t="s">
        <v>270</v>
      </c>
      <c r="E165" t="s">
        <v>270</v>
      </c>
      <c r="F165" t="s">
        <v>270</v>
      </c>
    </row>
    <row r="166" spans="1:6" x14ac:dyDescent="0.35">
      <c r="A166" s="1" t="s">
        <v>164</v>
      </c>
      <c r="B166">
        <v>1</v>
      </c>
      <c r="C166" t="s">
        <v>270</v>
      </c>
      <c r="D166" t="s">
        <v>270</v>
      </c>
      <c r="E166" t="s">
        <v>270</v>
      </c>
      <c r="F166" t="s">
        <v>270</v>
      </c>
    </row>
    <row r="167" spans="1:6" x14ac:dyDescent="0.35">
      <c r="A167" s="1" t="s">
        <v>165</v>
      </c>
      <c r="B167" t="s">
        <v>270</v>
      </c>
      <c r="C167" t="s">
        <v>270</v>
      </c>
      <c r="D167" t="s">
        <v>270</v>
      </c>
      <c r="E167">
        <v>1</v>
      </c>
      <c r="F167" t="s">
        <v>270</v>
      </c>
    </row>
    <row r="168" spans="1:6" x14ac:dyDescent="0.35">
      <c r="A168" s="1" t="s">
        <v>166</v>
      </c>
      <c r="B168" t="s">
        <v>270</v>
      </c>
      <c r="C168">
        <v>1</v>
      </c>
      <c r="D168">
        <v>1</v>
      </c>
      <c r="E168" t="s">
        <v>270</v>
      </c>
      <c r="F168">
        <v>1</v>
      </c>
    </row>
    <row r="169" spans="1:6" x14ac:dyDescent="0.35">
      <c r="A169" s="1" t="s">
        <v>167</v>
      </c>
      <c r="B169">
        <v>1</v>
      </c>
      <c r="C169">
        <v>1</v>
      </c>
      <c r="D169">
        <v>1</v>
      </c>
      <c r="E169" t="s">
        <v>270</v>
      </c>
      <c r="F169">
        <v>1</v>
      </c>
    </row>
    <row r="170" spans="1:6" x14ac:dyDescent="0.35">
      <c r="A170" s="1" t="s">
        <v>168</v>
      </c>
      <c r="B170" t="s">
        <v>270</v>
      </c>
      <c r="C170">
        <v>1</v>
      </c>
      <c r="D170" t="s">
        <v>270</v>
      </c>
      <c r="E170">
        <v>1</v>
      </c>
      <c r="F170" t="s">
        <v>270</v>
      </c>
    </row>
    <row r="171" spans="1:6" x14ac:dyDescent="0.35">
      <c r="A171" s="1" t="s">
        <v>169</v>
      </c>
      <c r="B171">
        <v>1</v>
      </c>
      <c r="C171">
        <v>1</v>
      </c>
      <c r="D171" t="s">
        <v>270</v>
      </c>
      <c r="E171">
        <v>1</v>
      </c>
      <c r="F171">
        <v>1</v>
      </c>
    </row>
    <row r="172" spans="1:6" x14ac:dyDescent="0.35">
      <c r="A172" s="1" t="s">
        <v>170</v>
      </c>
      <c r="B172">
        <v>1</v>
      </c>
      <c r="C172">
        <v>1</v>
      </c>
      <c r="D172">
        <v>1</v>
      </c>
      <c r="E172">
        <v>1</v>
      </c>
      <c r="F172">
        <v>1</v>
      </c>
    </row>
    <row r="173" spans="1:6" x14ac:dyDescent="0.35">
      <c r="A173" s="1" t="s">
        <v>171</v>
      </c>
      <c r="B173" t="s">
        <v>270</v>
      </c>
      <c r="C173">
        <v>1</v>
      </c>
      <c r="D173">
        <v>1</v>
      </c>
      <c r="E173" t="s">
        <v>270</v>
      </c>
      <c r="F173">
        <v>1</v>
      </c>
    </row>
    <row r="174" spans="1:6" x14ac:dyDescent="0.35">
      <c r="A174" s="1" t="s">
        <v>172</v>
      </c>
      <c r="B174" t="s">
        <v>270</v>
      </c>
      <c r="C174" t="s">
        <v>270</v>
      </c>
      <c r="D174">
        <v>1</v>
      </c>
      <c r="E174" t="s">
        <v>270</v>
      </c>
      <c r="F174">
        <v>1</v>
      </c>
    </row>
    <row r="175" spans="1:6" x14ac:dyDescent="0.35">
      <c r="A175" s="1" t="s">
        <v>173</v>
      </c>
      <c r="B175" t="s">
        <v>270</v>
      </c>
      <c r="C175" t="s">
        <v>270</v>
      </c>
      <c r="D175">
        <v>1</v>
      </c>
      <c r="E175" t="s">
        <v>270</v>
      </c>
      <c r="F175" t="s">
        <v>270</v>
      </c>
    </row>
    <row r="176" spans="1:6" x14ac:dyDescent="0.35">
      <c r="A176" s="1" t="s">
        <v>174</v>
      </c>
      <c r="B176" t="s">
        <v>270</v>
      </c>
      <c r="C176">
        <v>1</v>
      </c>
      <c r="D176">
        <v>1</v>
      </c>
      <c r="E176" t="s">
        <v>270</v>
      </c>
      <c r="F176" t="s">
        <v>270</v>
      </c>
    </row>
    <row r="177" spans="1:6" x14ac:dyDescent="0.35">
      <c r="A177" s="1" t="s">
        <v>175</v>
      </c>
      <c r="B177">
        <v>1</v>
      </c>
      <c r="C177">
        <v>1</v>
      </c>
      <c r="D177">
        <v>1</v>
      </c>
      <c r="E177">
        <v>1</v>
      </c>
      <c r="F177" t="s">
        <v>270</v>
      </c>
    </row>
    <row r="178" spans="1:6" x14ac:dyDescent="0.35">
      <c r="A178" s="1" t="s">
        <v>176</v>
      </c>
      <c r="B178" t="s">
        <v>270</v>
      </c>
      <c r="C178" t="s">
        <v>270</v>
      </c>
      <c r="D178" t="s">
        <v>270</v>
      </c>
      <c r="E178">
        <v>1</v>
      </c>
      <c r="F178">
        <v>1</v>
      </c>
    </row>
    <row r="179" spans="1:6" x14ac:dyDescent="0.35">
      <c r="A179" s="1" t="s">
        <v>177</v>
      </c>
      <c r="B179" t="s">
        <v>270</v>
      </c>
      <c r="C179">
        <v>1</v>
      </c>
      <c r="D179">
        <v>1</v>
      </c>
      <c r="E179" t="s">
        <v>270</v>
      </c>
      <c r="F179">
        <v>1</v>
      </c>
    </row>
    <row r="180" spans="1:6" x14ac:dyDescent="0.35">
      <c r="A180" s="1" t="s">
        <v>178</v>
      </c>
      <c r="B180" t="s">
        <v>270</v>
      </c>
      <c r="C180" t="s">
        <v>270</v>
      </c>
      <c r="D180" t="s">
        <v>270</v>
      </c>
      <c r="E180">
        <v>1</v>
      </c>
      <c r="F180">
        <v>1</v>
      </c>
    </row>
    <row r="181" spans="1:6" x14ac:dyDescent="0.35">
      <c r="A181" s="1" t="s">
        <v>179</v>
      </c>
      <c r="B181">
        <v>1</v>
      </c>
      <c r="C181">
        <v>1</v>
      </c>
      <c r="D181" t="s">
        <v>270</v>
      </c>
      <c r="E181">
        <v>1</v>
      </c>
      <c r="F181" t="s">
        <v>270</v>
      </c>
    </row>
    <row r="182" spans="1:6" x14ac:dyDescent="0.35">
      <c r="A182" s="1" t="s">
        <v>180</v>
      </c>
      <c r="B182">
        <v>1</v>
      </c>
      <c r="C182">
        <v>1</v>
      </c>
      <c r="D182" t="s">
        <v>270</v>
      </c>
      <c r="E182">
        <v>1</v>
      </c>
      <c r="F182" t="s">
        <v>270</v>
      </c>
    </row>
    <row r="183" spans="1:6" x14ac:dyDescent="0.35">
      <c r="A183" s="1" t="s">
        <v>181</v>
      </c>
      <c r="B183">
        <v>1</v>
      </c>
      <c r="C183" t="s">
        <v>270</v>
      </c>
      <c r="D183" t="s">
        <v>270</v>
      </c>
      <c r="E183" t="s">
        <v>270</v>
      </c>
      <c r="F183">
        <v>1</v>
      </c>
    </row>
    <row r="184" spans="1:6" x14ac:dyDescent="0.35">
      <c r="A184" s="1" t="s">
        <v>182</v>
      </c>
      <c r="B184">
        <v>1</v>
      </c>
      <c r="C184">
        <v>1</v>
      </c>
      <c r="D184">
        <v>1</v>
      </c>
      <c r="E184">
        <v>1</v>
      </c>
      <c r="F184">
        <v>1</v>
      </c>
    </row>
    <row r="185" spans="1:6" x14ac:dyDescent="0.35">
      <c r="A185" s="1" t="s">
        <v>183</v>
      </c>
      <c r="B185" t="s">
        <v>270</v>
      </c>
      <c r="C185" t="s">
        <v>270</v>
      </c>
      <c r="D185" t="s">
        <v>270</v>
      </c>
      <c r="E185">
        <v>1</v>
      </c>
      <c r="F185" t="s">
        <v>270</v>
      </c>
    </row>
    <row r="186" spans="1:6" x14ac:dyDescent="0.35">
      <c r="A186" s="1" t="s">
        <v>184</v>
      </c>
      <c r="B186" t="s">
        <v>270</v>
      </c>
      <c r="C186" t="s">
        <v>270</v>
      </c>
      <c r="D186" t="s">
        <v>270</v>
      </c>
      <c r="E186" t="s">
        <v>270</v>
      </c>
      <c r="F186" t="s">
        <v>270</v>
      </c>
    </row>
    <row r="187" spans="1:6" x14ac:dyDescent="0.35">
      <c r="A187" s="1" t="s">
        <v>185</v>
      </c>
      <c r="B187">
        <v>1</v>
      </c>
      <c r="C187" t="s">
        <v>270</v>
      </c>
      <c r="D187" t="s">
        <v>270</v>
      </c>
      <c r="E187">
        <v>1</v>
      </c>
      <c r="F187">
        <v>1</v>
      </c>
    </row>
    <row r="188" spans="1:6" x14ac:dyDescent="0.35">
      <c r="A188" s="1" t="s">
        <v>186</v>
      </c>
      <c r="B188" t="s">
        <v>270</v>
      </c>
      <c r="C188">
        <v>1</v>
      </c>
      <c r="D188">
        <v>1</v>
      </c>
      <c r="E188">
        <v>1</v>
      </c>
      <c r="F188" t="s">
        <v>270</v>
      </c>
    </row>
    <row r="189" spans="1:6" x14ac:dyDescent="0.35">
      <c r="A189" s="1" t="s">
        <v>187</v>
      </c>
      <c r="B189" t="s">
        <v>270</v>
      </c>
      <c r="C189">
        <v>1</v>
      </c>
      <c r="D189">
        <v>1</v>
      </c>
      <c r="E189">
        <v>1</v>
      </c>
      <c r="F189">
        <v>1</v>
      </c>
    </row>
    <row r="190" spans="1:6" x14ac:dyDescent="0.35">
      <c r="A190" s="1" t="s">
        <v>188</v>
      </c>
      <c r="B190" t="s">
        <v>270</v>
      </c>
      <c r="C190" t="s">
        <v>270</v>
      </c>
      <c r="D190">
        <v>1</v>
      </c>
      <c r="E190">
        <v>1</v>
      </c>
      <c r="F190">
        <v>1</v>
      </c>
    </row>
    <row r="191" spans="1:6" x14ac:dyDescent="0.35">
      <c r="A191" s="1" t="s">
        <v>189</v>
      </c>
      <c r="B191">
        <v>1</v>
      </c>
      <c r="C191" t="s">
        <v>270</v>
      </c>
      <c r="D191" t="s">
        <v>270</v>
      </c>
      <c r="E191">
        <v>1</v>
      </c>
      <c r="F191" t="s">
        <v>270</v>
      </c>
    </row>
    <row r="192" spans="1:6" x14ac:dyDescent="0.35">
      <c r="A192" s="1" t="s">
        <v>190</v>
      </c>
      <c r="B192" t="s">
        <v>270</v>
      </c>
      <c r="C192">
        <v>1</v>
      </c>
      <c r="D192">
        <v>1</v>
      </c>
      <c r="E192" t="s">
        <v>270</v>
      </c>
      <c r="F192">
        <v>1</v>
      </c>
    </row>
    <row r="193" spans="1:6" x14ac:dyDescent="0.35">
      <c r="A193" s="1" t="s">
        <v>191</v>
      </c>
      <c r="B193" t="s">
        <v>270</v>
      </c>
      <c r="C193">
        <v>1</v>
      </c>
      <c r="D193">
        <v>1</v>
      </c>
      <c r="E193">
        <v>1</v>
      </c>
      <c r="F193" t="s">
        <v>270</v>
      </c>
    </row>
    <row r="194" spans="1:6" x14ac:dyDescent="0.35">
      <c r="A194" s="1" t="s">
        <v>192</v>
      </c>
      <c r="B194">
        <v>1</v>
      </c>
      <c r="C194" t="s">
        <v>270</v>
      </c>
      <c r="D194" t="s">
        <v>270</v>
      </c>
      <c r="E194">
        <v>1</v>
      </c>
      <c r="F194">
        <v>1</v>
      </c>
    </row>
    <row r="195" spans="1:6" x14ac:dyDescent="0.35">
      <c r="A195" s="1" t="s">
        <v>193</v>
      </c>
      <c r="B195">
        <v>1</v>
      </c>
      <c r="C195" t="s">
        <v>270</v>
      </c>
      <c r="D195">
        <v>1</v>
      </c>
      <c r="E195" t="s">
        <v>270</v>
      </c>
      <c r="F195" t="s">
        <v>270</v>
      </c>
    </row>
    <row r="196" spans="1:6" x14ac:dyDescent="0.35">
      <c r="A196" s="1" t="s">
        <v>194</v>
      </c>
      <c r="B196" t="s">
        <v>270</v>
      </c>
      <c r="C196">
        <v>1</v>
      </c>
      <c r="D196" t="s">
        <v>270</v>
      </c>
      <c r="E196" t="s">
        <v>270</v>
      </c>
      <c r="F196">
        <v>1</v>
      </c>
    </row>
    <row r="197" spans="1:6" x14ac:dyDescent="0.35">
      <c r="A197" s="1" t="s">
        <v>195</v>
      </c>
      <c r="B197" t="s">
        <v>270</v>
      </c>
      <c r="C197" t="s">
        <v>270</v>
      </c>
      <c r="D197">
        <v>1</v>
      </c>
      <c r="E197" t="s">
        <v>270</v>
      </c>
      <c r="F197">
        <v>1</v>
      </c>
    </row>
    <row r="198" spans="1:6" x14ac:dyDescent="0.35">
      <c r="A198" s="1" t="s">
        <v>196</v>
      </c>
      <c r="B198">
        <v>1</v>
      </c>
      <c r="C198" t="s">
        <v>270</v>
      </c>
      <c r="D198" t="s">
        <v>270</v>
      </c>
      <c r="E198">
        <v>1</v>
      </c>
      <c r="F198" t="s">
        <v>270</v>
      </c>
    </row>
    <row r="199" spans="1:6" x14ac:dyDescent="0.35">
      <c r="A199" s="1" t="s">
        <v>197</v>
      </c>
      <c r="B199">
        <v>1</v>
      </c>
      <c r="C199" t="s">
        <v>270</v>
      </c>
      <c r="D199" t="s">
        <v>270</v>
      </c>
      <c r="E199">
        <v>1</v>
      </c>
      <c r="F199">
        <v>1</v>
      </c>
    </row>
    <row r="200" spans="1:6" x14ac:dyDescent="0.35">
      <c r="A200" s="1" t="s">
        <v>198</v>
      </c>
      <c r="B200">
        <v>1</v>
      </c>
      <c r="C200">
        <v>1</v>
      </c>
      <c r="D200">
        <v>1</v>
      </c>
      <c r="E200" t="s">
        <v>270</v>
      </c>
      <c r="F200" t="s">
        <v>270</v>
      </c>
    </row>
    <row r="201" spans="1:6" x14ac:dyDescent="0.35">
      <c r="A201" s="1" t="s">
        <v>199</v>
      </c>
      <c r="B201" t="s">
        <v>270</v>
      </c>
      <c r="C201">
        <v>1</v>
      </c>
      <c r="D201" t="s">
        <v>270</v>
      </c>
      <c r="E201">
        <v>1</v>
      </c>
      <c r="F201" t="s">
        <v>270</v>
      </c>
    </row>
    <row r="202" spans="1:6" x14ac:dyDescent="0.35">
      <c r="A202" s="1" t="s">
        <v>200</v>
      </c>
      <c r="B202" t="s">
        <v>270</v>
      </c>
      <c r="C202">
        <v>1</v>
      </c>
      <c r="D202" t="s">
        <v>270</v>
      </c>
      <c r="E202">
        <v>1</v>
      </c>
      <c r="F202">
        <v>1</v>
      </c>
    </row>
    <row r="203" spans="1:6" x14ac:dyDescent="0.35">
      <c r="A203" s="1" t="s">
        <v>201</v>
      </c>
      <c r="B203">
        <v>1</v>
      </c>
      <c r="C203" t="s">
        <v>270</v>
      </c>
      <c r="D203">
        <v>1</v>
      </c>
      <c r="E203" t="s">
        <v>270</v>
      </c>
      <c r="F203">
        <v>1</v>
      </c>
    </row>
    <row r="204" spans="1:6" x14ac:dyDescent="0.35">
      <c r="A204" s="1" t="s">
        <v>202</v>
      </c>
      <c r="B204">
        <v>1</v>
      </c>
      <c r="C204" t="s">
        <v>270</v>
      </c>
      <c r="D204" t="s">
        <v>270</v>
      </c>
      <c r="E204" t="s">
        <v>270</v>
      </c>
      <c r="F204" t="s">
        <v>270</v>
      </c>
    </row>
    <row r="205" spans="1:6" x14ac:dyDescent="0.35">
      <c r="A205" s="1" t="s">
        <v>203</v>
      </c>
      <c r="B205">
        <v>1</v>
      </c>
      <c r="C205" t="s">
        <v>270</v>
      </c>
      <c r="D205" t="s">
        <v>270</v>
      </c>
      <c r="E205">
        <v>1</v>
      </c>
      <c r="F205" t="s">
        <v>270</v>
      </c>
    </row>
    <row r="206" spans="1:6" x14ac:dyDescent="0.35">
      <c r="A206" s="1" t="s">
        <v>204</v>
      </c>
      <c r="B206">
        <v>1</v>
      </c>
      <c r="C206">
        <v>1</v>
      </c>
      <c r="D206">
        <v>1</v>
      </c>
      <c r="E206">
        <v>1</v>
      </c>
      <c r="F206" t="s">
        <v>270</v>
      </c>
    </row>
    <row r="207" spans="1:6" x14ac:dyDescent="0.35">
      <c r="A207" s="1" t="s">
        <v>205</v>
      </c>
      <c r="B207">
        <v>1</v>
      </c>
      <c r="C207">
        <v>1</v>
      </c>
      <c r="D207">
        <v>1</v>
      </c>
      <c r="E207" t="s">
        <v>270</v>
      </c>
      <c r="F207" t="s">
        <v>270</v>
      </c>
    </row>
    <row r="208" spans="1:6" x14ac:dyDescent="0.35">
      <c r="A208" s="1" t="s">
        <v>206</v>
      </c>
      <c r="B208" t="s">
        <v>270</v>
      </c>
      <c r="C208">
        <v>1</v>
      </c>
      <c r="D208" t="s">
        <v>270</v>
      </c>
      <c r="E208" t="s">
        <v>270</v>
      </c>
      <c r="F208">
        <v>1</v>
      </c>
    </row>
    <row r="209" spans="1:6" x14ac:dyDescent="0.35">
      <c r="A209" s="1" t="s">
        <v>207</v>
      </c>
      <c r="B209">
        <v>1</v>
      </c>
      <c r="C209">
        <v>1</v>
      </c>
      <c r="D209" t="s">
        <v>270</v>
      </c>
      <c r="E209">
        <v>1</v>
      </c>
      <c r="F209">
        <v>1</v>
      </c>
    </row>
    <row r="210" spans="1:6" x14ac:dyDescent="0.35">
      <c r="A210" s="1" t="s">
        <v>208</v>
      </c>
      <c r="B210">
        <v>1</v>
      </c>
      <c r="C210">
        <v>1</v>
      </c>
      <c r="D210" t="s">
        <v>270</v>
      </c>
      <c r="E210" t="s">
        <v>270</v>
      </c>
      <c r="F210">
        <v>1</v>
      </c>
    </row>
    <row r="211" spans="1:6" x14ac:dyDescent="0.35">
      <c r="A211" s="1" t="s">
        <v>209</v>
      </c>
      <c r="B211">
        <v>1</v>
      </c>
      <c r="C211">
        <v>1</v>
      </c>
      <c r="D211">
        <v>1</v>
      </c>
      <c r="E211">
        <v>1</v>
      </c>
      <c r="F211" t="s">
        <v>270</v>
      </c>
    </row>
    <row r="212" spans="1:6" x14ac:dyDescent="0.35">
      <c r="A212" s="1" t="s">
        <v>210</v>
      </c>
      <c r="B212" t="s">
        <v>270</v>
      </c>
      <c r="C212">
        <v>1</v>
      </c>
      <c r="D212">
        <v>1</v>
      </c>
      <c r="E212" t="s">
        <v>270</v>
      </c>
      <c r="F212">
        <v>1</v>
      </c>
    </row>
    <row r="213" spans="1:6" x14ac:dyDescent="0.35">
      <c r="A213" s="1" t="s">
        <v>211</v>
      </c>
      <c r="B213">
        <v>1</v>
      </c>
      <c r="C213">
        <v>1</v>
      </c>
      <c r="D213" t="s">
        <v>270</v>
      </c>
      <c r="E213" t="s">
        <v>270</v>
      </c>
      <c r="F213" t="s">
        <v>270</v>
      </c>
    </row>
    <row r="214" spans="1:6" x14ac:dyDescent="0.35">
      <c r="A214" s="1" t="s">
        <v>212</v>
      </c>
      <c r="B214">
        <v>1</v>
      </c>
      <c r="C214" t="s">
        <v>270</v>
      </c>
      <c r="D214">
        <v>1</v>
      </c>
      <c r="E214">
        <v>1</v>
      </c>
      <c r="F214" t="s">
        <v>270</v>
      </c>
    </row>
    <row r="215" spans="1:6" x14ac:dyDescent="0.35">
      <c r="A215" s="1" t="s">
        <v>213</v>
      </c>
      <c r="B215">
        <v>1</v>
      </c>
      <c r="C215">
        <v>1</v>
      </c>
      <c r="D215" t="s">
        <v>270</v>
      </c>
      <c r="E215" t="s">
        <v>270</v>
      </c>
      <c r="F215" t="s">
        <v>270</v>
      </c>
    </row>
    <row r="216" spans="1:6" x14ac:dyDescent="0.35">
      <c r="A216" s="1" t="s">
        <v>214</v>
      </c>
      <c r="B216" t="s">
        <v>270</v>
      </c>
      <c r="C216" t="s">
        <v>270</v>
      </c>
      <c r="D216" t="s">
        <v>270</v>
      </c>
      <c r="E216">
        <v>1</v>
      </c>
      <c r="F216" t="s">
        <v>270</v>
      </c>
    </row>
    <row r="217" spans="1:6" x14ac:dyDescent="0.35">
      <c r="A217" s="1" t="s">
        <v>215</v>
      </c>
      <c r="B217" t="s">
        <v>270</v>
      </c>
      <c r="C217" t="s">
        <v>270</v>
      </c>
      <c r="D217">
        <v>1</v>
      </c>
      <c r="E217" t="s">
        <v>270</v>
      </c>
      <c r="F217" t="s">
        <v>270</v>
      </c>
    </row>
    <row r="218" spans="1:6" x14ac:dyDescent="0.35">
      <c r="A218" s="1" t="s">
        <v>216</v>
      </c>
      <c r="B218">
        <v>1</v>
      </c>
      <c r="C218">
        <v>1</v>
      </c>
      <c r="D218" t="s">
        <v>270</v>
      </c>
      <c r="E218" t="s">
        <v>270</v>
      </c>
      <c r="F218" t="s">
        <v>270</v>
      </c>
    </row>
    <row r="219" spans="1:6" x14ac:dyDescent="0.35">
      <c r="A219" s="1" t="s">
        <v>217</v>
      </c>
      <c r="B219">
        <v>1</v>
      </c>
      <c r="C219" t="s">
        <v>270</v>
      </c>
      <c r="D219">
        <v>1</v>
      </c>
      <c r="E219" t="s">
        <v>270</v>
      </c>
      <c r="F219">
        <v>1</v>
      </c>
    </row>
    <row r="220" spans="1:6" x14ac:dyDescent="0.35">
      <c r="A220" s="1" t="s">
        <v>218</v>
      </c>
      <c r="B220">
        <v>1</v>
      </c>
      <c r="C220" t="s">
        <v>270</v>
      </c>
      <c r="D220" t="s">
        <v>270</v>
      </c>
      <c r="E220">
        <v>1</v>
      </c>
      <c r="F220" t="s">
        <v>270</v>
      </c>
    </row>
    <row r="221" spans="1:6" x14ac:dyDescent="0.35">
      <c r="A221" s="1" t="s">
        <v>219</v>
      </c>
      <c r="B221" t="s">
        <v>270</v>
      </c>
      <c r="C221" t="s">
        <v>270</v>
      </c>
      <c r="D221">
        <v>1</v>
      </c>
      <c r="E221">
        <v>1</v>
      </c>
      <c r="F221" t="s">
        <v>270</v>
      </c>
    </row>
    <row r="222" spans="1:6" x14ac:dyDescent="0.35">
      <c r="A222" s="1" t="s">
        <v>220</v>
      </c>
      <c r="B222" t="s">
        <v>270</v>
      </c>
      <c r="C222">
        <v>1</v>
      </c>
      <c r="D222" t="s">
        <v>270</v>
      </c>
      <c r="E222" t="s">
        <v>270</v>
      </c>
      <c r="F222">
        <v>1</v>
      </c>
    </row>
    <row r="223" spans="1:6" x14ac:dyDescent="0.35">
      <c r="A223" s="1" t="s">
        <v>221</v>
      </c>
      <c r="B223" t="s">
        <v>270</v>
      </c>
      <c r="C223" t="s">
        <v>270</v>
      </c>
      <c r="D223">
        <v>1</v>
      </c>
      <c r="E223" t="s">
        <v>270</v>
      </c>
      <c r="F223">
        <v>1</v>
      </c>
    </row>
    <row r="224" spans="1:6" x14ac:dyDescent="0.35">
      <c r="A224" s="1" t="s">
        <v>222</v>
      </c>
      <c r="B224">
        <v>1</v>
      </c>
      <c r="C224">
        <v>1</v>
      </c>
      <c r="D224" t="s">
        <v>270</v>
      </c>
      <c r="E224">
        <v>1</v>
      </c>
      <c r="F224">
        <v>1</v>
      </c>
    </row>
    <row r="225" spans="1:6" x14ac:dyDescent="0.35">
      <c r="A225" s="1" t="s">
        <v>223</v>
      </c>
      <c r="B225">
        <v>1</v>
      </c>
      <c r="C225" t="s">
        <v>270</v>
      </c>
      <c r="D225">
        <v>1</v>
      </c>
      <c r="E225" t="s">
        <v>270</v>
      </c>
      <c r="F225">
        <v>1</v>
      </c>
    </row>
    <row r="226" spans="1:6" x14ac:dyDescent="0.35">
      <c r="A226" s="1" t="s">
        <v>224</v>
      </c>
      <c r="B226" t="s">
        <v>270</v>
      </c>
      <c r="C226">
        <v>1</v>
      </c>
      <c r="D226" t="s">
        <v>270</v>
      </c>
      <c r="E226">
        <v>1</v>
      </c>
      <c r="F226">
        <v>1</v>
      </c>
    </row>
    <row r="227" spans="1:6" x14ac:dyDescent="0.35">
      <c r="A227" s="1" t="s">
        <v>225</v>
      </c>
      <c r="B227">
        <v>1</v>
      </c>
      <c r="C227">
        <v>1</v>
      </c>
      <c r="D227">
        <v>1</v>
      </c>
      <c r="E227" t="s">
        <v>270</v>
      </c>
      <c r="F227" t="s">
        <v>270</v>
      </c>
    </row>
    <row r="228" spans="1:6" x14ac:dyDescent="0.35">
      <c r="A228" s="1" t="s">
        <v>226</v>
      </c>
      <c r="B228" t="s">
        <v>270</v>
      </c>
      <c r="C228">
        <v>1</v>
      </c>
      <c r="D228" t="s">
        <v>270</v>
      </c>
      <c r="E228" t="s">
        <v>270</v>
      </c>
      <c r="F228">
        <v>1</v>
      </c>
    </row>
    <row r="229" spans="1:6" x14ac:dyDescent="0.35">
      <c r="A229" s="1" t="s">
        <v>227</v>
      </c>
      <c r="B229">
        <v>1</v>
      </c>
      <c r="C229">
        <v>1</v>
      </c>
      <c r="D229">
        <v>1</v>
      </c>
      <c r="E229" t="s">
        <v>270</v>
      </c>
      <c r="F229" t="s">
        <v>270</v>
      </c>
    </row>
    <row r="230" spans="1:6" x14ac:dyDescent="0.35">
      <c r="A230" s="1" t="s">
        <v>228</v>
      </c>
      <c r="B230" t="s">
        <v>270</v>
      </c>
      <c r="C230" t="s">
        <v>270</v>
      </c>
      <c r="D230" t="s">
        <v>270</v>
      </c>
      <c r="E230">
        <v>1</v>
      </c>
      <c r="F230" t="s">
        <v>270</v>
      </c>
    </row>
    <row r="231" spans="1:6" x14ac:dyDescent="0.35">
      <c r="A231" s="1" t="s">
        <v>229</v>
      </c>
      <c r="B231" t="s">
        <v>270</v>
      </c>
      <c r="C231" t="s">
        <v>270</v>
      </c>
      <c r="D231">
        <v>1</v>
      </c>
      <c r="E231" t="s">
        <v>270</v>
      </c>
      <c r="F231">
        <v>1</v>
      </c>
    </row>
    <row r="232" spans="1:6" x14ac:dyDescent="0.35">
      <c r="A232" s="1" t="s">
        <v>230</v>
      </c>
      <c r="B232" t="s">
        <v>270</v>
      </c>
      <c r="C232" t="s">
        <v>270</v>
      </c>
      <c r="D232">
        <v>1</v>
      </c>
      <c r="E232" t="s">
        <v>270</v>
      </c>
      <c r="F232" t="s">
        <v>270</v>
      </c>
    </row>
    <row r="233" spans="1:6" x14ac:dyDescent="0.35">
      <c r="A233" s="1" t="s">
        <v>231</v>
      </c>
      <c r="B233">
        <v>1</v>
      </c>
      <c r="C233">
        <v>1</v>
      </c>
      <c r="D233" t="s">
        <v>270</v>
      </c>
      <c r="E233" t="s">
        <v>270</v>
      </c>
      <c r="F233">
        <v>1</v>
      </c>
    </row>
    <row r="234" spans="1:6" x14ac:dyDescent="0.35">
      <c r="A234" s="1" t="s">
        <v>232</v>
      </c>
      <c r="B234">
        <v>1</v>
      </c>
      <c r="C234" t="s">
        <v>270</v>
      </c>
      <c r="D234">
        <v>1</v>
      </c>
      <c r="E234">
        <v>1</v>
      </c>
      <c r="F234" t="s">
        <v>270</v>
      </c>
    </row>
    <row r="235" spans="1:6" x14ac:dyDescent="0.35">
      <c r="A235" s="1" t="s">
        <v>233</v>
      </c>
      <c r="B235">
        <v>1</v>
      </c>
      <c r="C235" t="s">
        <v>270</v>
      </c>
      <c r="D235" t="s">
        <v>270</v>
      </c>
      <c r="E235">
        <v>1</v>
      </c>
      <c r="F235" t="s">
        <v>270</v>
      </c>
    </row>
    <row r="236" spans="1:6" x14ac:dyDescent="0.35">
      <c r="A236" s="1" t="s">
        <v>234</v>
      </c>
      <c r="B236" t="s">
        <v>270</v>
      </c>
      <c r="C236">
        <v>1</v>
      </c>
      <c r="D236" t="s">
        <v>270</v>
      </c>
      <c r="E236" t="s">
        <v>270</v>
      </c>
      <c r="F236">
        <v>1</v>
      </c>
    </row>
    <row r="237" spans="1:6" x14ac:dyDescent="0.35">
      <c r="A237" s="1" t="s">
        <v>235</v>
      </c>
      <c r="B237">
        <v>1</v>
      </c>
      <c r="C237">
        <v>1</v>
      </c>
      <c r="D237" t="s">
        <v>270</v>
      </c>
      <c r="E237" t="s">
        <v>270</v>
      </c>
      <c r="F237" t="s">
        <v>270</v>
      </c>
    </row>
    <row r="238" spans="1:6" x14ac:dyDescent="0.35">
      <c r="A238" s="1" t="s">
        <v>236</v>
      </c>
      <c r="B238">
        <v>1</v>
      </c>
      <c r="C238" t="s">
        <v>270</v>
      </c>
      <c r="D238">
        <v>1</v>
      </c>
      <c r="E238">
        <v>1</v>
      </c>
      <c r="F238" t="s">
        <v>270</v>
      </c>
    </row>
    <row r="239" spans="1:6" x14ac:dyDescent="0.35">
      <c r="A239" s="1" t="s">
        <v>237</v>
      </c>
      <c r="B239">
        <v>1</v>
      </c>
      <c r="C239" t="s">
        <v>270</v>
      </c>
      <c r="D239" t="s">
        <v>270</v>
      </c>
      <c r="E239" t="s">
        <v>270</v>
      </c>
      <c r="F239" t="s">
        <v>270</v>
      </c>
    </row>
    <row r="240" spans="1:6" x14ac:dyDescent="0.35">
      <c r="A240" s="1" t="s">
        <v>238</v>
      </c>
      <c r="B240" t="s">
        <v>270</v>
      </c>
      <c r="C240" t="s">
        <v>270</v>
      </c>
      <c r="D240">
        <v>1</v>
      </c>
      <c r="E240" t="s">
        <v>270</v>
      </c>
      <c r="F240">
        <v>1</v>
      </c>
    </row>
    <row r="241" spans="1:6" x14ac:dyDescent="0.35">
      <c r="A241" s="1" t="s">
        <v>239</v>
      </c>
      <c r="B241" t="s">
        <v>270</v>
      </c>
      <c r="C241">
        <v>1</v>
      </c>
      <c r="D241" t="s">
        <v>270</v>
      </c>
      <c r="E241" t="s">
        <v>270</v>
      </c>
      <c r="F241" t="s">
        <v>270</v>
      </c>
    </row>
    <row r="242" spans="1:6" x14ac:dyDescent="0.35">
      <c r="A242" s="1" t="s">
        <v>240</v>
      </c>
      <c r="B242">
        <v>1</v>
      </c>
      <c r="C242">
        <v>1</v>
      </c>
      <c r="D242" t="s">
        <v>270</v>
      </c>
      <c r="E242">
        <v>1</v>
      </c>
      <c r="F242" t="s">
        <v>270</v>
      </c>
    </row>
    <row r="243" spans="1:6" x14ac:dyDescent="0.35">
      <c r="A243" s="1" t="s">
        <v>241</v>
      </c>
      <c r="B243" t="s">
        <v>270</v>
      </c>
      <c r="C243">
        <v>1</v>
      </c>
      <c r="D243">
        <v>1</v>
      </c>
      <c r="E243">
        <v>1</v>
      </c>
      <c r="F243">
        <v>1</v>
      </c>
    </row>
    <row r="244" spans="1:6" x14ac:dyDescent="0.35">
      <c r="A244" s="1" t="s">
        <v>242</v>
      </c>
      <c r="B244">
        <v>1</v>
      </c>
      <c r="C244" t="s">
        <v>270</v>
      </c>
      <c r="D244" t="s">
        <v>270</v>
      </c>
      <c r="E244" t="s">
        <v>270</v>
      </c>
      <c r="F244">
        <v>1</v>
      </c>
    </row>
    <row r="245" spans="1:6" x14ac:dyDescent="0.35">
      <c r="A245" s="1" t="s">
        <v>243</v>
      </c>
      <c r="B245">
        <v>1</v>
      </c>
      <c r="C245" t="s">
        <v>270</v>
      </c>
      <c r="D245" t="s">
        <v>270</v>
      </c>
      <c r="E245" t="s">
        <v>270</v>
      </c>
      <c r="F245" t="s">
        <v>270</v>
      </c>
    </row>
    <row r="246" spans="1:6" x14ac:dyDescent="0.35">
      <c r="A246" s="1" t="s">
        <v>244</v>
      </c>
      <c r="B246" t="s">
        <v>270</v>
      </c>
      <c r="C246">
        <v>1</v>
      </c>
      <c r="D246">
        <v>1</v>
      </c>
      <c r="E246">
        <v>1</v>
      </c>
      <c r="F246">
        <v>1</v>
      </c>
    </row>
    <row r="247" spans="1:6" x14ac:dyDescent="0.35">
      <c r="A247" s="1" t="s">
        <v>245</v>
      </c>
      <c r="B247">
        <v>1</v>
      </c>
      <c r="C247" t="s">
        <v>270</v>
      </c>
      <c r="D247" t="s">
        <v>270</v>
      </c>
      <c r="E247">
        <v>1</v>
      </c>
      <c r="F247" t="s">
        <v>270</v>
      </c>
    </row>
    <row r="248" spans="1:6" x14ac:dyDescent="0.35">
      <c r="A248" s="1" t="s">
        <v>246</v>
      </c>
      <c r="B248" t="s">
        <v>270</v>
      </c>
      <c r="C248">
        <v>1</v>
      </c>
      <c r="D248">
        <v>1</v>
      </c>
      <c r="E248" t="s">
        <v>270</v>
      </c>
      <c r="F248" t="s">
        <v>270</v>
      </c>
    </row>
    <row r="249" spans="1:6" x14ac:dyDescent="0.35">
      <c r="A249" s="1" t="s">
        <v>247</v>
      </c>
      <c r="B249" t="s">
        <v>270</v>
      </c>
      <c r="C249">
        <v>1</v>
      </c>
      <c r="D249" t="s">
        <v>270</v>
      </c>
      <c r="E249" t="s">
        <v>270</v>
      </c>
      <c r="F249" t="s">
        <v>270</v>
      </c>
    </row>
    <row r="250" spans="1:6" x14ac:dyDescent="0.35">
      <c r="A250" s="1" t="s">
        <v>248</v>
      </c>
      <c r="B250">
        <v>1</v>
      </c>
      <c r="C250">
        <v>1</v>
      </c>
      <c r="D250">
        <v>1</v>
      </c>
      <c r="E250">
        <v>1</v>
      </c>
      <c r="F250">
        <v>1</v>
      </c>
    </row>
    <row r="251" spans="1:6" x14ac:dyDescent="0.35">
      <c r="A251" s="1" t="s">
        <v>249</v>
      </c>
      <c r="B251">
        <v>1</v>
      </c>
      <c r="C251" t="s">
        <v>270</v>
      </c>
      <c r="D251">
        <v>1</v>
      </c>
      <c r="E251" t="s">
        <v>270</v>
      </c>
      <c r="F251" t="s">
        <v>270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2F07-2373-4127-B9CE-F701A7DD7141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1325.9734048</v>
      </c>
      <c r="B2">
        <v>576.78766559999997</v>
      </c>
      <c r="C2">
        <v>876.48938240000007</v>
      </c>
      <c r="D2">
        <v>1022.9790400000001</v>
      </c>
      <c r="E2">
        <v>907.04968639999993</v>
      </c>
      <c r="F2">
        <v>1033.7942527999999</v>
      </c>
      <c r="G2">
        <v>1354.4930304</v>
      </c>
      <c r="H2">
        <v>1891.9228624</v>
      </c>
      <c r="I2">
        <v>443.0230176</v>
      </c>
      <c r="J2">
        <v>498.1096192</v>
      </c>
      <c r="K2">
        <v>958.02486720000002</v>
      </c>
      <c r="L2">
        <v>455.31343200000003</v>
      </c>
      <c r="M2">
        <v>1521.4218752000002</v>
      </c>
      <c r="N2">
        <v>1130.8625536</v>
      </c>
      <c r="O2">
        <v>561.30574560000002</v>
      </c>
      <c r="P2">
        <v>1840.2807088000002</v>
      </c>
      <c r="Q2">
        <v>1321.976128</v>
      </c>
      <c r="R2">
        <v>1946.1098416</v>
      </c>
      <c r="S2">
        <v>1267.7338256</v>
      </c>
      <c r="T2">
        <v>1315.2953791999998</v>
      </c>
      <c r="U2">
        <v>1315.4628176000001</v>
      </c>
      <c r="V2">
        <v>1353.8884576</v>
      </c>
      <c r="W2">
        <v>1918.3839008000002</v>
      </c>
      <c r="X2">
        <v>952.05895999999996</v>
      </c>
      <c r="Y2">
        <v>1004.3555744</v>
      </c>
      <c r="Z2">
        <v>1285.4769856</v>
      </c>
      <c r="AA2">
        <v>1575.0666352000001</v>
      </c>
      <c r="AB2">
        <v>934.16211680000004</v>
      </c>
      <c r="AC2">
        <v>1048.9201327999999</v>
      </c>
      <c r="AD2">
        <v>1978.3460096000001</v>
      </c>
      <c r="AE2">
        <v>1358.1019824</v>
      </c>
      <c r="AF2">
        <v>1107.1787343999999</v>
      </c>
      <c r="AG2">
        <v>572.97389280000004</v>
      </c>
      <c r="AH2">
        <v>474.2503792</v>
      </c>
      <c r="AI2">
        <v>1211.8457472</v>
      </c>
      <c r="AJ2">
        <v>1572.1825888000001</v>
      </c>
      <c r="AK2">
        <v>447.83572479999998</v>
      </c>
      <c r="AL2">
        <v>1236.8277536000001</v>
      </c>
      <c r="AM2">
        <v>1841.3037744000001</v>
      </c>
      <c r="AN2">
        <v>1902.1139184000001</v>
      </c>
      <c r="AO2">
        <v>1785.0365535999999</v>
      </c>
      <c r="AP2">
        <v>1180.4045071999999</v>
      </c>
      <c r="AQ2">
        <v>1149.7599808</v>
      </c>
      <c r="AR2">
        <v>1727.0148320000001</v>
      </c>
      <c r="AS2">
        <v>1586.3679040000002</v>
      </c>
      <c r="AT2">
        <v>1037.2243248</v>
      </c>
      <c r="AU2">
        <v>1525.0476768000001</v>
      </c>
      <c r="AV2">
        <v>1821.7744352</v>
      </c>
      <c r="AW2">
        <v>1921.8326528</v>
      </c>
      <c r="AX2">
        <v>1894.6430112000003</v>
      </c>
      <c r="AY2">
        <v>1664.2621184000002</v>
      </c>
      <c r="AZ2">
        <v>423.61849119999999</v>
      </c>
      <c r="BA2">
        <v>1089.797272</v>
      </c>
      <c r="BB2">
        <v>740.59254559999999</v>
      </c>
      <c r="BC2">
        <v>630.62504799999999</v>
      </c>
      <c r="BD2">
        <v>548.63786879999998</v>
      </c>
      <c r="BE2">
        <v>1798.4231632000001</v>
      </c>
      <c r="BF2">
        <v>490.12482560000001</v>
      </c>
      <c r="BG2">
        <v>618.9278928</v>
      </c>
      <c r="BH2">
        <v>1945.9850848000001</v>
      </c>
      <c r="BI2">
        <v>1236.6972480000002</v>
      </c>
      <c r="BJ2">
        <v>613.57551520000004</v>
      </c>
      <c r="BK2">
        <v>1655.2329408000001</v>
      </c>
      <c r="BL2">
        <v>427.5220352</v>
      </c>
      <c r="BM2">
        <v>459.54320000000001</v>
      </c>
      <c r="BN2">
        <v>1847.1467663999999</v>
      </c>
      <c r="BO2">
        <v>1531.8738400000002</v>
      </c>
      <c r="BP2">
        <v>932.10597280000002</v>
      </c>
      <c r="BQ2">
        <v>1630.8409232000001</v>
      </c>
      <c r="BR2">
        <v>1788.3519968000001</v>
      </c>
      <c r="BS2">
        <v>1277.6721184000003</v>
      </c>
      <c r="BT2">
        <v>1719.0846000000001</v>
      </c>
      <c r="BU2">
        <v>675.09693440000001</v>
      </c>
      <c r="BV2">
        <v>1675.6235552000001</v>
      </c>
      <c r="BW2">
        <v>1544.5571328000001</v>
      </c>
      <c r="BX2">
        <v>453.51919040000001</v>
      </c>
      <c r="BY2">
        <v>516.89262240000005</v>
      </c>
      <c r="BZ2">
        <v>858.77632160000007</v>
      </c>
      <c r="CA2">
        <v>1891.6005872000001</v>
      </c>
      <c r="CB2">
        <v>1325.8283168</v>
      </c>
      <c r="CC2">
        <v>1300.022168</v>
      </c>
      <c r="CD2">
        <v>1428.5039904</v>
      </c>
      <c r="CE2">
        <v>1547.9947344000002</v>
      </c>
      <c r="CF2">
        <v>1355.373208</v>
      </c>
      <c r="CG2">
        <v>589.73621760000003</v>
      </c>
      <c r="CH2">
        <v>873.75523200000009</v>
      </c>
      <c r="CI2">
        <v>793.75341920000005</v>
      </c>
      <c r="CJ2">
        <v>1125.414464</v>
      </c>
      <c r="CK2">
        <v>1495.6626944</v>
      </c>
      <c r="CL2">
        <v>1147.230088</v>
      </c>
      <c r="CM2">
        <v>1013.5931200000001</v>
      </c>
      <c r="CN2">
        <v>491.5203424</v>
      </c>
      <c r="CO2">
        <v>1154.3360928000002</v>
      </c>
      <c r="CP2">
        <v>1819.0233568000001</v>
      </c>
      <c r="CQ2">
        <v>791.27737120000006</v>
      </c>
      <c r="CR2">
        <v>400.37175839999998</v>
      </c>
      <c r="CS2">
        <v>1048.6028224000002</v>
      </c>
      <c r="CT2">
        <v>1258.7584928000001</v>
      </c>
      <c r="CU2">
        <v>864.57174880000002</v>
      </c>
      <c r="CV2">
        <v>1990.9056384</v>
      </c>
      <c r="CW2">
        <v>648.39708160000009</v>
      </c>
      <c r="CX2">
        <v>1229.1971712</v>
      </c>
      <c r="CY2">
        <v>1026.3430976</v>
      </c>
      <c r="CZ2">
        <v>1327.2887840000001</v>
      </c>
      <c r="DA2">
        <v>774.42610400000001</v>
      </c>
      <c r="DB2">
        <v>744.50787360000004</v>
      </c>
      <c r="DC2">
        <v>1755.030344</v>
      </c>
      <c r="DD2">
        <v>1185.4589215999999</v>
      </c>
      <c r="DE2">
        <v>541.48601600000006</v>
      </c>
      <c r="DF2">
        <v>481.00860640000002</v>
      </c>
      <c r="DG2">
        <v>1012.8942864000001</v>
      </c>
      <c r="DH2">
        <v>1624.9173840000001</v>
      </c>
      <c r="DI2">
        <v>1342.0448896</v>
      </c>
      <c r="DJ2">
        <v>1373.4204992</v>
      </c>
      <c r="DK2">
        <v>1273.6781424000001</v>
      </c>
      <c r="DL2">
        <v>566.6578432</v>
      </c>
      <c r="DM2">
        <v>1964.0126048000002</v>
      </c>
      <c r="DN2">
        <v>1118.7606096</v>
      </c>
      <c r="DO2">
        <v>1217.4220144000001</v>
      </c>
      <c r="DP2">
        <v>521.56137439999998</v>
      </c>
      <c r="DQ2">
        <v>847.97815200000002</v>
      </c>
      <c r="DR2">
        <v>539.53841599999998</v>
      </c>
      <c r="DS2">
        <v>933.13957920000007</v>
      </c>
      <c r="DT2">
        <v>975.19973760000005</v>
      </c>
      <c r="DU2">
        <v>1764.699208</v>
      </c>
      <c r="DV2">
        <v>1014.3074848</v>
      </c>
      <c r="DW2">
        <v>1748.6484192</v>
      </c>
      <c r="DX2">
        <v>556.86559360000001</v>
      </c>
      <c r="DY2">
        <v>1225.2390272000002</v>
      </c>
      <c r="DZ2">
        <v>546.76818400000002</v>
      </c>
      <c r="EA2">
        <v>1485.0847424000001</v>
      </c>
      <c r="EB2">
        <v>585.99599839999996</v>
      </c>
      <c r="EC2">
        <v>1040.3848848</v>
      </c>
      <c r="ED2">
        <v>1401.0511568000002</v>
      </c>
      <c r="EE2">
        <v>754.37660959999994</v>
      </c>
      <c r="EF2">
        <v>712.98452960000009</v>
      </c>
      <c r="EG2">
        <v>1765.7994080000001</v>
      </c>
      <c r="EH2">
        <v>748.37048800000002</v>
      </c>
      <c r="EI2">
        <v>1425.4358768000002</v>
      </c>
      <c r="EJ2">
        <v>1729.9794160000001</v>
      </c>
      <c r="EK2">
        <v>1551.5982112000002</v>
      </c>
      <c r="EL2">
        <v>1879.1750480000001</v>
      </c>
      <c r="EM2">
        <v>1551.4953664</v>
      </c>
      <c r="EN2">
        <v>1939.3320448000002</v>
      </c>
      <c r="EO2">
        <v>543.84508000000005</v>
      </c>
      <c r="EP2">
        <v>1688.8755248</v>
      </c>
      <c r="EQ2">
        <v>1075.7808144000001</v>
      </c>
      <c r="ER2">
        <v>765.410304</v>
      </c>
      <c r="ES2">
        <v>859.19745760000001</v>
      </c>
      <c r="ET2">
        <v>1717.3166032000001</v>
      </c>
      <c r="EU2">
        <v>1615.221352</v>
      </c>
      <c r="EV2">
        <v>983.86330720000001</v>
      </c>
      <c r="EW2">
        <v>850.68297600000005</v>
      </c>
      <c r="EX2">
        <v>960.73038080000003</v>
      </c>
      <c r="EY2">
        <v>1738.2975343999999</v>
      </c>
      <c r="EZ2">
        <v>1368.5292416000002</v>
      </c>
      <c r="FA2">
        <v>1238.4903056000001</v>
      </c>
      <c r="FB2">
        <v>646.35068799999999</v>
      </c>
      <c r="FC2">
        <v>1670.3668592000001</v>
      </c>
      <c r="FD2">
        <v>1163.4709056000002</v>
      </c>
      <c r="FE2">
        <v>840.94613600000002</v>
      </c>
      <c r="FF2">
        <v>891.75549760000001</v>
      </c>
      <c r="FG2">
        <v>1221.1705535999999</v>
      </c>
      <c r="FH2">
        <v>419.5132256</v>
      </c>
      <c r="FI2">
        <v>1747.2664224</v>
      </c>
      <c r="FJ2">
        <v>1583.7069375999999</v>
      </c>
      <c r="FK2">
        <v>1646.7421376</v>
      </c>
      <c r="FL2">
        <v>1015.9840432</v>
      </c>
      <c r="FM2">
        <v>1549.8034752000001</v>
      </c>
      <c r="FN2">
        <v>959.76956800000005</v>
      </c>
      <c r="FO2">
        <v>1986.8227456000002</v>
      </c>
      <c r="FP2">
        <v>1392.4972480000001</v>
      </c>
      <c r="FQ2">
        <v>817.61544320000007</v>
      </c>
      <c r="FR2">
        <v>1721.4287952000002</v>
      </c>
      <c r="FS2">
        <v>1584.6016928000001</v>
      </c>
      <c r="FT2">
        <v>881.23759040000004</v>
      </c>
      <c r="FU2">
        <v>1297.2967168</v>
      </c>
      <c r="FV2">
        <v>424.0767664</v>
      </c>
      <c r="FW2">
        <v>1459.6986416</v>
      </c>
      <c r="FX2">
        <v>1206.9731024000002</v>
      </c>
      <c r="FY2">
        <v>1915.8385408000001</v>
      </c>
      <c r="FZ2">
        <v>1070.7895440000002</v>
      </c>
      <c r="GA2">
        <v>1131.3702928</v>
      </c>
      <c r="GB2">
        <v>1045.8752079999999</v>
      </c>
      <c r="GC2">
        <v>1284.6096704000001</v>
      </c>
      <c r="GD2">
        <v>627.29556479999997</v>
      </c>
      <c r="GE2">
        <v>828.20714399999997</v>
      </c>
      <c r="GF2">
        <v>1006.8629472</v>
      </c>
      <c r="GG2">
        <v>498.06227680000001</v>
      </c>
      <c r="GH2">
        <v>1255.6751584000001</v>
      </c>
      <c r="GI2">
        <v>1353.2067632000001</v>
      </c>
      <c r="GJ2">
        <v>603.15235840000003</v>
      </c>
      <c r="GK2">
        <v>1649.9275376000001</v>
      </c>
      <c r="GL2">
        <v>1655.9013232000002</v>
      </c>
      <c r="GM2">
        <v>1023.1494576</v>
      </c>
      <c r="GN2">
        <v>431.17465120000003</v>
      </c>
      <c r="GO2">
        <v>763.92061119999994</v>
      </c>
      <c r="GP2">
        <v>1653.9811360000001</v>
      </c>
      <c r="GQ2">
        <v>1851.0598080000002</v>
      </c>
      <c r="GR2">
        <v>1283.4205440000001</v>
      </c>
      <c r="GS2">
        <v>1245.6271344000002</v>
      </c>
      <c r="GT2">
        <v>1780.9786128000001</v>
      </c>
      <c r="GU2">
        <v>950.90337120000004</v>
      </c>
      <c r="GV2">
        <v>1992.568448</v>
      </c>
      <c r="GW2">
        <v>1307.2523376000001</v>
      </c>
      <c r="GX2">
        <v>1135.9797776</v>
      </c>
      <c r="GY2">
        <v>1293.9876736000001</v>
      </c>
      <c r="GZ2">
        <v>899.44099359999996</v>
      </c>
      <c r="HA2">
        <v>1640.226128</v>
      </c>
      <c r="HB2">
        <v>472.65741760000003</v>
      </c>
      <c r="HC2">
        <v>766.36247040000001</v>
      </c>
      <c r="HD2">
        <v>485.53071520000003</v>
      </c>
      <c r="HE2">
        <v>960.26464640000006</v>
      </c>
      <c r="HF2">
        <v>1676.8374416000001</v>
      </c>
      <c r="HG2">
        <v>1816.2175936000001</v>
      </c>
      <c r="HH2">
        <v>1630.2394816000001</v>
      </c>
      <c r="HI2">
        <v>1291.8266352000001</v>
      </c>
      <c r="HJ2">
        <v>797.41999520000002</v>
      </c>
      <c r="HK2">
        <v>1717.302152</v>
      </c>
      <c r="HL2">
        <v>699.44228799999996</v>
      </c>
      <c r="HM2">
        <v>1404.9079760000002</v>
      </c>
      <c r="HN2">
        <v>1041.6433872000002</v>
      </c>
      <c r="HO2">
        <v>1211.5926976000001</v>
      </c>
      <c r="HP2">
        <v>1825.7163424000003</v>
      </c>
      <c r="HQ2">
        <v>972.46781759999999</v>
      </c>
      <c r="HR2">
        <v>1711.1199952000002</v>
      </c>
      <c r="HS2">
        <v>1432.3106479999999</v>
      </c>
      <c r="HT2">
        <v>1068.9955488000001</v>
      </c>
      <c r="HU2">
        <v>665.91051040000002</v>
      </c>
      <c r="HV2">
        <v>776.26958560000003</v>
      </c>
      <c r="HW2">
        <v>1519.7316464</v>
      </c>
      <c r="HX2">
        <v>1531.9302848000002</v>
      </c>
      <c r="HY2">
        <v>1595.2741008</v>
      </c>
      <c r="HZ2">
        <v>1511.1214192</v>
      </c>
      <c r="IA2">
        <v>585.76918560000001</v>
      </c>
      <c r="IB2">
        <v>1359.4561200000001</v>
      </c>
      <c r="IC2">
        <v>1887.5846752000002</v>
      </c>
      <c r="ID2">
        <v>971.50457119999999</v>
      </c>
      <c r="IE2">
        <v>1732.2895040000001</v>
      </c>
      <c r="IF2">
        <v>860.00127199999997</v>
      </c>
      <c r="IG2">
        <v>1519.9016784</v>
      </c>
      <c r="IH2">
        <v>623.93563360000007</v>
      </c>
      <c r="II2">
        <v>1341.2619216000003</v>
      </c>
      <c r="IJ2">
        <v>1950.2767952000002</v>
      </c>
      <c r="IK2">
        <v>1196.7586096</v>
      </c>
      <c r="IL2">
        <v>530.68451520000008</v>
      </c>
      <c r="IM2">
        <v>1317.1500784</v>
      </c>
      <c r="IN2">
        <v>1543.8524144</v>
      </c>
      <c r="IO2">
        <v>1800.5436864000001</v>
      </c>
      <c r="IP2">
        <v>1529.3868448000001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143F-88A0-4CCE-803E-BE9E13B9595D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885.63187132412179</v>
      </c>
      <c r="B2">
        <v>402.30679489567984</v>
      </c>
      <c r="C2">
        <v>572.07421863680361</v>
      </c>
      <c r="D2">
        <v>747.66495034113564</v>
      </c>
      <c r="E2">
        <v>470.01163055052416</v>
      </c>
      <c r="F2">
        <v>523.14952525760202</v>
      </c>
      <c r="G2">
        <v>676.40701267791997</v>
      </c>
      <c r="H2">
        <v>656.47870981443884</v>
      </c>
      <c r="I2">
        <v>251.90052687124577</v>
      </c>
      <c r="J2">
        <v>241.35800218085208</v>
      </c>
      <c r="K2">
        <v>345.41779169054803</v>
      </c>
      <c r="L2">
        <v>330.34669083659907</v>
      </c>
      <c r="M2">
        <v>619.41799326890839</v>
      </c>
      <c r="N2">
        <v>598.49288005352696</v>
      </c>
      <c r="O2">
        <v>296.50666613979968</v>
      </c>
      <c r="P2">
        <v>635.32983424645772</v>
      </c>
      <c r="Q2">
        <v>840.63497518616055</v>
      </c>
      <c r="R2">
        <v>1449.8486026173289</v>
      </c>
      <c r="S2">
        <v>596.56929496943633</v>
      </c>
      <c r="T2">
        <v>522.47369967622353</v>
      </c>
      <c r="U2">
        <v>765.80416898493843</v>
      </c>
      <c r="V2">
        <v>1010.0638580971759</v>
      </c>
      <c r="W2">
        <v>1375.7907809220546</v>
      </c>
      <c r="X2">
        <v>775.42370097485195</v>
      </c>
      <c r="Y2">
        <v>647.84790254784798</v>
      </c>
      <c r="Z2">
        <v>662.62993603741916</v>
      </c>
      <c r="AA2">
        <v>1058.730071855334</v>
      </c>
      <c r="AB2">
        <v>690.80838967170484</v>
      </c>
      <c r="AC2">
        <v>575.71508186736685</v>
      </c>
      <c r="AD2">
        <v>1199.2495558693861</v>
      </c>
      <c r="AE2">
        <v>1069.431153814689</v>
      </c>
      <c r="AF2">
        <v>609.89600009006426</v>
      </c>
      <c r="AG2">
        <v>447.94749926381559</v>
      </c>
      <c r="AH2">
        <v>395.84842431879986</v>
      </c>
      <c r="AI2">
        <v>925.93017291339402</v>
      </c>
      <c r="AJ2">
        <v>1195.3273820565591</v>
      </c>
      <c r="AK2">
        <v>351.46014491481088</v>
      </c>
      <c r="AL2">
        <v>888.7774755478473</v>
      </c>
      <c r="AM2">
        <v>588.05575665774711</v>
      </c>
      <c r="AN2">
        <v>1593.8340039330822</v>
      </c>
      <c r="AO2">
        <v>1430.0212837858412</v>
      </c>
      <c r="AP2">
        <v>665.04663120338455</v>
      </c>
      <c r="AQ2">
        <v>741.78649836374927</v>
      </c>
      <c r="AR2">
        <v>922.06182900994645</v>
      </c>
      <c r="AS2">
        <v>1322.5826598421488</v>
      </c>
      <c r="AT2">
        <v>366.79032358055531</v>
      </c>
      <c r="AU2">
        <v>1134.4616861037334</v>
      </c>
      <c r="AV2">
        <v>617.65378310294807</v>
      </c>
      <c r="AW2">
        <v>701.63813976901929</v>
      </c>
      <c r="AX2">
        <v>673.20785577610252</v>
      </c>
      <c r="AY2">
        <v>1030.4205968954132</v>
      </c>
      <c r="AZ2">
        <v>285.96681905656629</v>
      </c>
      <c r="BA2">
        <v>720.96472534462987</v>
      </c>
      <c r="BB2">
        <v>606.57326687872876</v>
      </c>
      <c r="BC2">
        <v>346.84128448512286</v>
      </c>
      <c r="BD2">
        <v>438.00152351089389</v>
      </c>
      <c r="BE2">
        <v>1156.7140887355235</v>
      </c>
      <c r="BF2">
        <v>272.41227058578738</v>
      </c>
      <c r="BG2">
        <v>328.81506765725061</v>
      </c>
      <c r="BH2">
        <v>1562.1465724567984</v>
      </c>
      <c r="BI2">
        <v>724.96162118549239</v>
      </c>
      <c r="BJ2">
        <v>303.49732403584176</v>
      </c>
      <c r="BK2">
        <v>1388.3051473173712</v>
      </c>
      <c r="BL2">
        <v>258.19790746192388</v>
      </c>
      <c r="BM2">
        <v>206.61577576171888</v>
      </c>
      <c r="BN2">
        <v>736.6645127794751</v>
      </c>
      <c r="BO2">
        <v>590.59468482215789</v>
      </c>
      <c r="BP2">
        <v>484.61921807538215</v>
      </c>
      <c r="BQ2">
        <v>1089.2242797595979</v>
      </c>
      <c r="BR2">
        <v>1358.6514014517199</v>
      </c>
      <c r="BS2">
        <v>964.35653083932345</v>
      </c>
      <c r="BT2">
        <v>776.75958803379956</v>
      </c>
      <c r="BU2">
        <v>519.37508082771581</v>
      </c>
      <c r="BV2">
        <v>890.8908753546574</v>
      </c>
      <c r="BW2">
        <v>1290.6362430721688</v>
      </c>
      <c r="BX2">
        <v>180.69146840498661</v>
      </c>
      <c r="BY2">
        <v>305.13662270284271</v>
      </c>
      <c r="BZ2">
        <v>675.60661363833447</v>
      </c>
      <c r="CA2">
        <v>671.63481844411876</v>
      </c>
      <c r="CB2">
        <v>1002.4695408113869</v>
      </c>
      <c r="CC2">
        <v>926.52446609086905</v>
      </c>
      <c r="CD2">
        <v>1110.6122109509556</v>
      </c>
      <c r="CE2">
        <v>742.9982603347828</v>
      </c>
      <c r="CF2">
        <v>923.85342617464437</v>
      </c>
      <c r="CG2">
        <v>185.49432447329951</v>
      </c>
      <c r="CH2">
        <v>685.64361697774859</v>
      </c>
      <c r="CI2">
        <v>461.39696382032946</v>
      </c>
      <c r="CJ2">
        <v>451.27263899714029</v>
      </c>
      <c r="CK2">
        <v>620.27306802326871</v>
      </c>
      <c r="CL2">
        <v>704.2069978677207</v>
      </c>
      <c r="CM2">
        <v>496.51416839513422</v>
      </c>
      <c r="CN2">
        <v>314.82936726977573</v>
      </c>
      <c r="CO2">
        <v>891.72108198908131</v>
      </c>
      <c r="CP2">
        <v>656.25722412046161</v>
      </c>
      <c r="CQ2">
        <v>315.24492039293585</v>
      </c>
      <c r="CR2">
        <v>222.62288414007165</v>
      </c>
      <c r="CS2">
        <v>828.99155858638642</v>
      </c>
      <c r="CT2">
        <v>966.64414994401056</v>
      </c>
      <c r="CU2">
        <v>606.35275981543043</v>
      </c>
      <c r="CV2">
        <v>1558.2059886754043</v>
      </c>
      <c r="CW2">
        <v>387.74833046429308</v>
      </c>
      <c r="CX2">
        <v>531.2974321397146</v>
      </c>
      <c r="CY2">
        <v>440.42454006953653</v>
      </c>
      <c r="CZ2">
        <v>997.68629943998315</v>
      </c>
      <c r="DA2">
        <v>386.54353105001485</v>
      </c>
      <c r="DB2">
        <v>341.3217999413942</v>
      </c>
      <c r="DC2">
        <v>758.97586106687288</v>
      </c>
      <c r="DD2">
        <v>783.60502907409068</v>
      </c>
      <c r="DE2">
        <v>228.63054616536738</v>
      </c>
      <c r="DF2">
        <v>188.01780979398964</v>
      </c>
      <c r="DG2">
        <v>661.06539129501516</v>
      </c>
      <c r="DH2">
        <v>1347.7527520368947</v>
      </c>
      <c r="DI2">
        <v>837.00310238928444</v>
      </c>
      <c r="DJ2">
        <v>511.24188229244527</v>
      </c>
      <c r="DK2">
        <v>430.22524384919575</v>
      </c>
      <c r="DL2">
        <v>306.67967697051404</v>
      </c>
      <c r="DM2">
        <v>971.11986714454963</v>
      </c>
      <c r="DN2">
        <v>809.54715601203509</v>
      </c>
      <c r="DO2">
        <v>404.9911104421505</v>
      </c>
      <c r="DP2">
        <v>233.55748414177668</v>
      </c>
      <c r="DQ2">
        <v>342.671221820249</v>
      </c>
      <c r="DR2">
        <v>441.29988430065976</v>
      </c>
      <c r="DS2">
        <v>697.69004211943616</v>
      </c>
      <c r="DT2">
        <v>545.10476409194064</v>
      </c>
      <c r="DU2">
        <v>916.95817881114294</v>
      </c>
      <c r="DV2">
        <v>681.80125521193543</v>
      </c>
      <c r="DW2">
        <v>1008.7386241720213</v>
      </c>
      <c r="DX2">
        <v>349.1624457898198</v>
      </c>
      <c r="DY2">
        <v>662.17265553561072</v>
      </c>
      <c r="DZ2">
        <v>431.24896725134857</v>
      </c>
      <c r="EA2">
        <v>902.45193961703171</v>
      </c>
      <c r="EB2">
        <v>316.49955260137631</v>
      </c>
      <c r="EC2">
        <v>405.00269439143329</v>
      </c>
      <c r="ED2">
        <v>695.58472336943771</v>
      </c>
      <c r="EE2">
        <v>582.05571534086869</v>
      </c>
      <c r="EF2">
        <v>451.7353170220639</v>
      </c>
      <c r="EG2">
        <v>646.3236685359858</v>
      </c>
      <c r="EH2">
        <v>298.2169957514451</v>
      </c>
      <c r="EI2">
        <v>1087.5623496932396</v>
      </c>
      <c r="EJ2">
        <v>1071.7156849295927</v>
      </c>
      <c r="EK2">
        <v>1232.9685679806391</v>
      </c>
      <c r="EL2">
        <v>1415.7391870732083</v>
      </c>
      <c r="EM2">
        <v>479.18868174265219</v>
      </c>
      <c r="EN2">
        <v>905.88499385276793</v>
      </c>
      <c r="EO2">
        <v>452.8539783754145</v>
      </c>
      <c r="EP2">
        <v>1326.5420523661626</v>
      </c>
      <c r="EQ2">
        <v>904.8040636144832</v>
      </c>
      <c r="ER2">
        <v>502.04734913587617</v>
      </c>
      <c r="ES2">
        <v>333.67357593448401</v>
      </c>
      <c r="ET2">
        <v>1164.2736465029509</v>
      </c>
      <c r="EU2">
        <v>928.55571537963942</v>
      </c>
      <c r="EV2">
        <v>332.45089423140797</v>
      </c>
      <c r="EW2">
        <v>720.73892105283949</v>
      </c>
      <c r="EX2">
        <v>557.1486089092914</v>
      </c>
      <c r="EY2">
        <v>873.6995654803909</v>
      </c>
      <c r="EZ2">
        <v>528.69258266511792</v>
      </c>
      <c r="FA2">
        <v>708.52193764177321</v>
      </c>
      <c r="FB2">
        <v>320.79531610894628</v>
      </c>
      <c r="FC2">
        <v>554.263224523492</v>
      </c>
      <c r="FD2">
        <v>435.6069060787172</v>
      </c>
      <c r="FE2">
        <v>603.80416453616112</v>
      </c>
      <c r="FF2">
        <v>627.04792630462362</v>
      </c>
      <c r="FG2">
        <v>951.72034521189607</v>
      </c>
      <c r="FH2">
        <v>142.21130701132046</v>
      </c>
      <c r="FI2">
        <v>1315.1678041147886</v>
      </c>
      <c r="FJ2">
        <v>1110.4236491120603</v>
      </c>
      <c r="FK2">
        <v>592.25967807061068</v>
      </c>
      <c r="FL2">
        <v>655.11903641143977</v>
      </c>
      <c r="FM2">
        <v>1075.9258132593823</v>
      </c>
      <c r="FN2">
        <v>693.56055604208484</v>
      </c>
      <c r="FO2">
        <v>745.05996617218625</v>
      </c>
      <c r="FP2">
        <v>650.7135969977503</v>
      </c>
      <c r="FQ2">
        <v>576.36130288209699</v>
      </c>
      <c r="FR2">
        <v>1036.5547158681366</v>
      </c>
      <c r="FS2">
        <v>844.29922238207109</v>
      </c>
      <c r="FT2">
        <v>626.69631481471924</v>
      </c>
      <c r="FU2">
        <v>412.69387848991994</v>
      </c>
      <c r="FV2">
        <v>293.58928178262795</v>
      </c>
      <c r="FW2">
        <v>838.07103155576647</v>
      </c>
      <c r="FX2">
        <v>614.63330778039199</v>
      </c>
      <c r="FY2">
        <v>1184.8560977671868</v>
      </c>
      <c r="FZ2">
        <v>479.14712675254378</v>
      </c>
      <c r="GA2">
        <v>911.79936031963814</v>
      </c>
      <c r="GB2">
        <v>646.929916684982</v>
      </c>
      <c r="GC2">
        <v>961.29909108303673</v>
      </c>
      <c r="GD2">
        <v>411.82093897946669</v>
      </c>
      <c r="GE2">
        <v>510.70857862802364</v>
      </c>
      <c r="GF2">
        <v>454.55661937295758</v>
      </c>
      <c r="GG2">
        <v>252.5171181374576</v>
      </c>
      <c r="GH2">
        <v>386.72287471223194</v>
      </c>
      <c r="GI2">
        <v>781.68744787292974</v>
      </c>
      <c r="GJ2">
        <v>333.50948170425039</v>
      </c>
      <c r="GK2">
        <v>962.46042891564605</v>
      </c>
      <c r="GL2">
        <v>1325.339569580316</v>
      </c>
      <c r="GM2">
        <v>755.95522606440522</v>
      </c>
      <c r="GN2">
        <v>268.76288914296805</v>
      </c>
      <c r="GO2">
        <v>629.04109153343859</v>
      </c>
      <c r="GP2">
        <v>817.42665562321645</v>
      </c>
      <c r="GQ2">
        <v>1350.6048772994432</v>
      </c>
      <c r="GR2">
        <v>925.70078243266482</v>
      </c>
      <c r="GS2">
        <v>456.52629028154826</v>
      </c>
      <c r="GT2">
        <v>1265.9906292825481</v>
      </c>
      <c r="GU2">
        <v>647.06207452512422</v>
      </c>
      <c r="GV2">
        <v>675.60410921517632</v>
      </c>
      <c r="GW2">
        <v>807.12635559625994</v>
      </c>
      <c r="GX2">
        <v>574.22301029408322</v>
      </c>
      <c r="GY2">
        <v>559.88343307528476</v>
      </c>
      <c r="GZ2">
        <v>349.9950446323391</v>
      </c>
      <c r="HA2">
        <v>1302.2274492979602</v>
      </c>
      <c r="HB2">
        <v>275.58330386762049</v>
      </c>
      <c r="HC2">
        <v>472.85546796908119</v>
      </c>
      <c r="HD2">
        <v>285.03471160308504</v>
      </c>
      <c r="HE2">
        <v>725.62709428643484</v>
      </c>
      <c r="HF2">
        <v>909.4317879789055</v>
      </c>
      <c r="HG2">
        <v>664.17550204145164</v>
      </c>
      <c r="HH2">
        <v>1252.3253991217014</v>
      </c>
      <c r="HI2">
        <v>450.21646873143072</v>
      </c>
      <c r="HJ2">
        <v>465.44793877462183</v>
      </c>
      <c r="HK2">
        <v>654.52202528317093</v>
      </c>
      <c r="HL2">
        <v>468.24533247710372</v>
      </c>
      <c r="HM2">
        <v>537.81276174102629</v>
      </c>
      <c r="HN2">
        <v>626.08241823377102</v>
      </c>
      <c r="HO2">
        <v>1003.2654758409179</v>
      </c>
      <c r="HP2">
        <v>950.13090892364244</v>
      </c>
      <c r="HQ2">
        <v>660.94365904998756</v>
      </c>
      <c r="HR2">
        <v>595.29030607455547</v>
      </c>
      <c r="HS2">
        <v>815.98107134897407</v>
      </c>
      <c r="HT2">
        <v>741.97807114056138</v>
      </c>
      <c r="HU2">
        <v>390.14612672059093</v>
      </c>
      <c r="HV2">
        <v>386.76217475403382</v>
      </c>
      <c r="HW2">
        <v>550.24589342249305</v>
      </c>
      <c r="HX2">
        <v>882.93651059787317</v>
      </c>
      <c r="HY2">
        <v>1099.7684215334593</v>
      </c>
      <c r="HZ2">
        <v>972.67874542251968</v>
      </c>
      <c r="IA2">
        <v>422.98175507373531</v>
      </c>
      <c r="IB2">
        <v>558.20743643751518</v>
      </c>
      <c r="IC2">
        <v>646.09687347864053</v>
      </c>
      <c r="ID2">
        <v>653.653009621141</v>
      </c>
      <c r="IE2">
        <v>1471.3966083946839</v>
      </c>
      <c r="IF2">
        <v>309.33909850243174</v>
      </c>
      <c r="IG2">
        <v>778.76991159660213</v>
      </c>
      <c r="IH2">
        <v>198.61386211198337</v>
      </c>
      <c r="II2">
        <v>439.54704071991955</v>
      </c>
      <c r="IJ2">
        <v>933.29633339107022</v>
      </c>
      <c r="IK2">
        <v>765.88213943247445</v>
      </c>
      <c r="IL2">
        <v>379.60371643310708</v>
      </c>
      <c r="IM2">
        <v>663.17091485796789</v>
      </c>
      <c r="IN2">
        <v>1205.8382297603507</v>
      </c>
      <c r="IO2">
        <v>1078.2039421462464</v>
      </c>
      <c r="IP2">
        <v>1069.2759733048892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1866-AFA2-4908-A213-EC7A5350B43B}">
  <dimension ref="A1:IP2"/>
  <sheetViews>
    <sheetView topLeftCell="HX1"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1</v>
      </c>
      <c r="B2" t="s">
        <v>270</v>
      </c>
      <c r="C2">
        <v>1</v>
      </c>
      <c r="D2">
        <v>1</v>
      </c>
      <c r="E2" t="s">
        <v>270</v>
      </c>
      <c r="F2" t="s">
        <v>270</v>
      </c>
      <c r="G2" t="s">
        <v>270</v>
      </c>
      <c r="H2">
        <v>1</v>
      </c>
      <c r="I2">
        <v>1</v>
      </c>
      <c r="J2" t="s">
        <v>270</v>
      </c>
      <c r="K2">
        <v>1</v>
      </c>
      <c r="L2">
        <v>1</v>
      </c>
      <c r="M2">
        <v>1</v>
      </c>
      <c r="N2" t="s">
        <v>270</v>
      </c>
      <c r="O2" t="s">
        <v>270</v>
      </c>
      <c r="P2">
        <v>1</v>
      </c>
      <c r="Q2">
        <v>1</v>
      </c>
      <c r="R2">
        <v>1</v>
      </c>
      <c r="S2" t="s">
        <v>270</v>
      </c>
      <c r="T2" t="s">
        <v>270</v>
      </c>
      <c r="U2" t="s">
        <v>270</v>
      </c>
      <c r="V2" t="s">
        <v>270</v>
      </c>
      <c r="W2">
        <v>1</v>
      </c>
      <c r="X2">
        <v>1</v>
      </c>
      <c r="Y2" t="s">
        <v>270</v>
      </c>
      <c r="Z2" t="s">
        <v>270</v>
      </c>
      <c r="AA2">
        <v>1</v>
      </c>
      <c r="AB2">
        <v>1</v>
      </c>
      <c r="AC2" t="s">
        <v>270</v>
      </c>
      <c r="AD2">
        <v>1</v>
      </c>
      <c r="AE2" t="s">
        <v>270</v>
      </c>
      <c r="AF2" t="s">
        <v>270</v>
      </c>
      <c r="AG2">
        <v>1</v>
      </c>
      <c r="AH2" t="s">
        <v>270</v>
      </c>
      <c r="AI2" t="s">
        <v>270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 t="s">
        <v>270</v>
      </c>
      <c r="AQ2">
        <v>1</v>
      </c>
      <c r="AR2">
        <v>1</v>
      </c>
      <c r="AS2">
        <v>1</v>
      </c>
      <c r="AT2" t="s">
        <v>270</v>
      </c>
      <c r="AU2">
        <v>1</v>
      </c>
      <c r="AV2" t="s">
        <v>270</v>
      </c>
      <c r="AW2">
        <v>1</v>
      </c>
      <c r="AX2" t="s">
        <v>270</v>
      </c>
      <c r="AY2" t="s">
        <v>270</v>
      </c>
      <c r="AZ2" t="s">
        <v>270</v>
      </c>
      <c r="BA2">
        <v>1</v>
      </c>
      <c r="BB2" t="s">
        <v>270</v>
      </c>
      <c r="BC2" t="s">
        <v>270</v>
      </c>
      <c r="BD2">
        <v>1</v>
      </c>
      <c r="BE2" t="s">
        <v>270</v>
      </c>
      <c r="BF2">
        <v>1</v>
      </c>
      <c r="BG2" t="s">
        <v>270</v>
      </c>
      <c r="BH2">
        <v>1</v>
      </c>
      <c r="BI2">
        <v>1</v>
      </c>
      <c r="BJ2" t="s">
        <v>270</v>
      </c>
      <c r="BK2" t="s">
        <v>270</v>
      </c>
      <c r="BL2" t="s">
        <v>270</v>
      </c>
      <c r="BM2" t="s">
        <v>270</v>
      </c>
      <c r="BN2" t="s">
        <v>270</v>
      </c>
      <c r="BO2" t="s">
        <v>270</v>
      </c>
      <c r="BP2" t="s">
        <v>270</v>
      </c>
      <c r="BQ2">
        <v>1</v>
      </c>
      <c r="BR2" t="s">
        <v>270</v>
      </c>
      <c r="BS2">
        <v>1</v>
      </c>
      <c r="BT2">
        <v>1</v>
      </c>
      <c r="BU2" t="s">
        <v>270</v>
      </c>
      <c r="BV2">
        <v>1</v>
      </c>
      <c r="BW2" t="s">
        <v>270</v>
      </c>
      <c r="BX2">
        <v>1</v>
      </c>
      <c r="BY2">
        <v>1</v>
      </c>
      <c r="BZ2" t="s">
        <v>270</v>
      </c>
      <c r="CA2" t="s">
        <v>270</v>
      </c>
      <c r="CB2" t="s">
        <v>270</v>
      </c>
      <c r="CC2" t="s">
        <v>270</v>
      </c>
      <c r="CD2" t="s">
        <v>270</v>
      </c>
      <c r="CE2" t="s">
        <v>270</v>
      </c>
      <c r="CF2" t="s">
        <v>270</v>
      </c>
      <c r="CG2" t="s">
        <v>270</v>
      </c>
      <c r="CH2" t="s">
        <v>270</v>
      </c>
      <c r="CI2">
        <v>1</v>
      </c>
      <c r="CJ2">
        <v>1</v>
      </c>
      <c r="CK2">
        <v>1</v>
      </c>
      <c r="CL2" t="s">
        <v>270</v>
      </c>
      <c r="CM2" t="s">
        <v>270</v>
      </c>
      <c r="CN2" t="s">
        <v>270</v>
      </c>
      <c r="CO2">
        <v>1</v>
      </c>
      <c r="CP2">
        <v>1</v>
      </c>
      <c r="CQ2" t="s">
        <v>270</v>
      </c>
      <c r="CR2" t="s">
        <v>270</v>
      </c>
      <c r="CS2" t="s">
        <v>270</v>
      </c>
      <c r="CT2">
        <v>1</v>
      </c>
      <c r="CU2" t="s">
        <v>270</v>
      </c>
      <c r="CV2" t="s">
        <v>270</v>
      </c>
      <c r="CW2">
        <v>1</v>
      </c>
      <c r="CX2">
        <v>1</v>
      </c>
      <c r="CY2" t="s">
        <v>270</v>
      </c>
      <c r="CZ2" t="s">
        <v>270</v>
      </c>
      <c r="DA2">
        <v>1</v>
      </c>
      <c r="DB2">
        <v>1</v>
      </c>
      <c r="DC2">
        <v>1</v>
      </c>
      <c r="DD2">
        <v>1</v>
      </c>
      <c r="DE2" t="s">
        <v>270</v>
      </c>
      <c r="DF2" t="s">
        <v>270</v>
      </c>
      <c r="DG2" t="s">
        <v>270</v>
      </c>
      <c r="DH2" t="s">
        <v>270</v>
      </c>
      <c r="DI2">
        <v>1</v>
      </c>
      <c r="DJ2" t="s">
        <v>270</v>
      </c>
      <c r="DK2">
        <v>1</v>
      </c>
      <c r="DL2" t="s">
        <v>270</v>
      </c>
      <c r="DM2" t="s">
        <v>270</v>
      </c>
      <c r="DN2" t="s">
        <v>270</v>
      </c>
      <c r="DO2" t="s">
        <v>270</v>
      </c>
      <c r="DP2">
        <v>1</v>
      </c>
      <c r="DQ2" t="s">
        <v>270</v>
      </c>
      <c r="DR2">
        <v>1</v>
      </c>
      <c r="DS2" t="s">
        <v>270</v>
      </c>
      <c r="DT2" t="s">
        <v>270</v>
      </c>
      <c r="DU2">
        <v>1</v>
      </c>
      <c r="DV2" t="s">
        <v>270</v>
      </c>
      <c r="DW2">
        <v>1</v>
      </c>
      <c r="DX2">
        <v>1</v>
      </c>
      <c r="DY2">
        <v>1</v>
      </c>
      <c r="DZ2">
        <v>1</v>
      </c>
      <c r="EA2" t="s">
        <v>270</v>
      </c>
      <c r="EB2" t="s">
        <v>270</v>
      </c>
      <c r="EC2">
        <v>1</v>
      </c>
      <c r="ED2" t="s">
        <v>270</v>
      </c>
      <c r="EE2">
        <v>1</v>
      </c>
      <c r="EF2">
        <v>1</v>
      </c>
      <c r="EG2" t="s">
        <v>270</v>
      </c>
      <c r="EH2">
        <v>1</v>
      </c>
      <c r="EI2" t="s">
        <v>270</v>
      </c>
      <c r="EJ2" t="s">
        <v>270</v>
      </c>
      <c r="EK2" t="s">
        <v>270</v>
      </c>
      <c r="EL2">
        <v>1</v>
      </c>
      <c r="EM2">
        <v>1</v>
      </c>
      <c r="EN2">
        <v>1</v>
      </c>
      <c r="EO2">
        <v>1</v>
      </c>
      <c r="EP2" t="s">
        <v>270</v>
      </c>
      <c r="EQ2" t="s">
        <v>270</v>
      </c>
      <c r="ER2">
        <v>1</v>
      </c>
      <c r="ES2" t="s">
        <v>270</v>
      </c>
      <c r="ET2">
        <v>1</v>
      </c>
      <c r="EU2" t="s">
        <v>270</v>
      </c>
      <c r="EV2" t="s">
        <v>270</v>
      </c>
      <c r="EW2" t="s">
        <v>270</v>
      </c>
      <c r="EX2" t="s">
        <v>270</v>
      </c>
      <c r="EY2" t="s">
        <v>270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 t="s">
        <v>270</v>
      </c>
      <c r="FG2" t="s">
        <v>270</v>
      </c>
      <c r="FH2" t="s">
        <v>270</v>
      </c>
      <c r="FI2">
        <v>1</v>
      </c>
      <c r="FJ2" t="s">
        <v>270</v>
      </c>
      <c r="FK2" t="s">
        <v>270</v>
      </c>
      <c r="FL2" t="s">
        <v>270</v>
      </c>
      <c r="FM2">
        <v>1</v>
      </c>
      <c r="FN2">
        <v>1</v>
      </c>
      <c r="FO2">
        <v>1</v>
      </c>
      <c r="FP2" t="s">
        <v>270</v>
      </c>
      <c r="FQ2" t="s">
        <v>270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 t="s">
        <v>270</v>
      </c>
      <c r="GA2">
        <v>1</v>
      </c>
      <c r="GB2" t="s">
        <v>270</v>
      </c>
      <c r="GC2" t="s">
        <v>270</v>
      </c>
      <c r="GD2" t="s">
        <v>270</v>
      </c>
      <c r="GE2">
        <v>1</v>
      </c>
      <c r="GF2">
        <v>1</v>
      </c>
      <c r="GG2">
        <v>1</v>
      </c>
      <c r="GH2">
        <v>1</v>
      </c>
      <c r="GI2" t="s">
        <v>270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 t="s">
        <v>270</v>
      </c>
      <c r="GV2">
        <v>1</v>
      </c>
      <c r="GW2">
        <v>1</v>
      </c>
      <c r="GX2" t="s">
        <v>270</v>
      </c>
      <c r="GY2">
        <v>1</v>
      </c>
      <c r="GZ2" t="s">
        <v>270</v>
      </c>
      <c r="HA2" t="s">
        <v>270</v>
      </c>
      <c r="HB2">
        <v>1</v>
      </c>
      <c r="HC2">
        <v>1</v>
      </c>
      <c r="HD2">
        <v>1</v>
      </c>
      <c r="HE2" t="s">
        <v>270</v>
      </c>
      <c r="HF2" t="s">
        <v>270</v>
      </c>
      <c r="HG2" t="s">
        <v>270</v>
      </c>
      <c r="HH2">
        <v>1</v>
      </c>
      <c r="HI2">
        <v>1</v>
      </c>
      <c r="HJ2" t="s">
        <v>270</v>
      </c>
      <c r="HK2">
        <v>1</v>
      </c>
      <c r="HL2">
        <v>1</v>
      </c>
      <c r="HM2" t="s">
        <v>270</v>
      </c>
      <c r="HN2" t="s">
        <v>270</v>
      </c>
      <c r="HO2">
        <v>1</v>
      </c>
      <c r="HP2" t="s">
        <v>270</v>
      </c>
      <c r="HQ2" t="s">
        <v>270</v>
      </c>
      <c r="HR2" t="s">
        <v>270</v>
      </c>
      <c r="HS2">
        <v>1</v>
      </c>
      <c r="HT2" t="s">
        <v>270</v>
      </c>
      <c r="HU2" t="s">
        <v>270</v>
      </c>
      <c r="HV2">
        <v>1</v>
      </c>
      <c r="HW2" t="s">
        <v>270</v>
      </c>
      <c r="HX2" t="s">
        <v>270</v>
      </c>
      <c r="HY2" t="s">
        <v>270</v>
      </c>
      <c r="HZ2" t="s">
        <v>270</v>
      </c>
      <c r="IA2" t="s">
        <v>270</v>
      </c>
      <c r="IB2" t="s">
        <v>270</v>
      </c>
      <c r="IC2" t="s">
        <v>270</v>
      </c>
      <c r="ID2" t="s">
        <v>270</v>
      </c>
      <c r="IE2" t="s">
        <v>270</v>
      </c>
      <c r="IF2">
        <v>1</v>
      </c>
      <c r="IG2" t="s">
        <v>270</v>
      </c>
      <c r="IH2" t="s">
        <v>270</v>
      </c>
      <c r="II2">
        <v>1</v>
      </c>
      <c r="IJ2">
        <v>1</v>
      </c>
      <c r="IK2">
        <v>1</v>
      </c>
      <c r="IL2">
        <v>1</v>
      </c>
      <c r="IM2" t="s">
        <v>270</v>
      </c>
      <c r="IN2" t="s">
        <v>270</v>
      </c>
      <c r="IO2" t="s">
        <v>270</v>
      </c>
      <c r="IP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B48C-CD90-41E9-9CB0-C4B6547CC5E0}">
  <dimension ref="A1:G251"/>
  <sheetViews>
    <sheetView workbookViewId="0"/>
  </sheetViews>
  <sheetFormatPr defaultRowHeight="14.5" x14ac:dyDescent="0.35"/>
  <sheetData>
    <row r="1" spans="1:7" x14ac:dyDescent="0.35">
      <c r="B1" s="1" t="s">
        <v>254</v>
      </c>
      <c r="C1" s="1" t="s">
        <v>255</v>
      </c>
      <c r="D1" s="1" t="s">
        <v>256</v>
      </c>
      <c r="E1" s="1" t="s">
        <v>257</v>
      </c>
      <c r="F1" s="1" t="s">
        <v>258</v>
      </c>
      <c r="G1" s="1" t="s">
        <v>259</v>
      </c>
    </row>
    <row r="2" spans="1:7" x14ac:dyDescent="0.35">
      <c r="A2" s="1" t="s">
        <v>0</v>
      </c>
      <c r="B2">
        <v>489216.00000000012</v>
      </c>
      <c r="D2">
        <v>61516.000000000022</v>
      </c>
      <c r="G2">
        <v>228977.59740745666</v>
      </c>
    </row>
    <row r="3" spans="1:7" x14ac:dyDescent="0.35">
      <c r="A3" s="1" t="s">
        <v>1</v>
      </c>
      <c r="B3">
        <v>64584</v>
      </c>
      <c r="C3">
        <v>47319.999999999985</v>
      </c>
    </row>
    <row r="4" spans="1:7" x14ac:dyDescent="0.35">
      <c r="A4" s="1" t="s">
        <v>2</v>
      </c>
      <c r="B4">
        <v>342451.20000000007</v>
      </c>
      <c r="C4">
        <v>1.4551915228366852E-11</v>
      </c>
      <c r="G4">
        <v>158295.88515686215</v>
      </c>
    </row>
    <row r="5" spans="1:7" x14ac:dyDescent="0.35">
      <c r="A5" s="1" t="s">
        <v>3</v>
      </c>
      <c r="B5">
        <v>108576</v>
      </c>
      <c r="C5">
        <v>24440.000000000007</v>
      </c>
      <c r="D5">
        <v>22880.000000000007</v>
      </c>
      <c r="G5">
        <v>143163.32662260951</v>
      </c>
    </row>
    <row r="6" spans="1:7" x14ac:dyDescent="0.35">
      <c r="A6" s="1" t="s">
        <v>4</v>
      </c>
      <c r="D6">
        <v>31574.400000000001</v>
      </c>
    </row>
    <row r="7" spans="1:7" x14ac:dyDescent="0.35">
      <c r="A7" s="1" t="s">
        <v>5</v>
      </c>
      <c r="B7">
        <v>35380.799999999988</v>
      </c>
      <c r="D7">
        <v>33862.400000000001</v>
      </c>
      <c r="F7">
        <v>5075.2000000000007</v>
      </c>
    </row>
    <row r="8" spans="1:7" x14ac:dyDescent="0.35">
      <c r="A8" s="1" t="s">
        <v>6</v>
      </c>
      <c r="B8">
        <v>60278.400000000009</v>
      </c>
      <c r="F8">
        <v>-3.637978807091713E-12</v>
      </c>
    </row>
    <row r="9" spans="1:7" x14ac:dyDescent="0.35">
      <c r="A9" s="1" t="s">
        <v>7</v>
      </c>
      <c r="B9">
        <v>136281.60000000003</v>
      </c>
      <c r="D9">
        <v>39884</v>
      </c>
      <c r="F9">
        <v>10150.400000000001</v>
      </c>
      <c r="G9">
        <v>642430.95934449183</v>
      </c>
    </row>
    <row r="10" spans="1:7" x14ac:dyDescent="0.35">
      <c r="A10" s="1" t="s">
        <v>8</v>
      </c>
      <c r="B10">
        <v>1.4551915228366852E-11</v>
      </c>
      <c r="D10">
        <v>18200.000000000015</v>
      </c>
      <c r="E10">
        <v>45136.000000000015</v>
      </c>
      <c r="F10">
        <v>2537.6000000000004</v>
      </c>
      <c r="G10">
        <v>99383.695178952185</v>
      </c>
    </row>
    <row r="11" spans="1:7" x14ac:dyDescent="0.35">
      <c r="A11" s="1" t="s">
        <v>9</v>
      </c>
      <c r="B11">
        <v>65520</v>
      </c>
      <c r="C11">
        <v>37440.000000000015</v>
      </c>
      <c r="D11">
        <v>19219.2</v>
      </c>
      <c r="F11">
        <v>12688</v>
      </c>
    </row>
    <row r="12" spans="1:7" x14ac:dyDescent="0.35">
      <c r="A12" s="1" t="s">
        <v>10</v>
      </c>
      <c r="B12">
        <v>74256</v>
      </c>
      <c r="C12">
        <v>36400</v>
      </c>
      <c r="D12">
        <v>45292</v>
      </c>
      <c r="G12">
        <v>318555.679264915</v>
      </c>
    </row>
    <row r="13" spans="1:7" x14ac:dyDescent="0.35">
      <c r="A13" s="1" t="s">
        <v>11</v>
      </c>
      <c r="B13">
        <v>924580.8</v>
      </c>
      <c r="C13">
        <v>34319.999999999985</v>
      </c>
      <c r="E13">
        <v>32240</v>
      </c>
      <c r="G13">
        <v>64982.705404968496</v>
      </c>
    </row>
    <row r="14" spans="1:7" x14ac:dyDescent="0.35">
      <c r="A14" s="1" t="s">
        <v>12</v>
      </c>
      <c r="B14">
        <v>572644.79999999993</v>
      </c>
      <c r="C14">
        <v>17159.999999999993</v>
      </c>
      <c r="D14">
        <v>53404.000000000007</v>
      </c>
      <c r="E14">
        <v>6448</v>
      </c>
      <c r="F14">
        <v>-3.637978807091713E-12</v>
      </c>
      <c r="G14">
        <v>469042.01860416774</v>
      </c>
    </row>
    <row r="15" spans="1:7" x14ac:dyDescent="0.35">
      <c r="A15" s="1" t="s">
        <v>13</v>
      </c>
      <c r="B15">
        <v>39312</v>
      </c>
      <c r="C15">
        <v>-1.4551915228366852E-11</v>
      </c>
      <c r="D15">
        <v>43940</v>
      </c>
      <c r="E15">
        <v>12896</v>
      </c>
      <c r="F15">
        <v>11419.199999999993</v>
      </c>
    </row>
    <row r="16" spans="1:7" x14ac:dyDescent="0.35">
      <c r="A16" s="1" t="s">
        <v>14</v>
      </c>
      <c r="D16">
        <v>1.4551915228366852E-11</v>
      </c>
      <c r="E16">
        <v>6448</v>
      </c>
    </row>
    <row r="17" spans="1:7" x14ac:dyDescent="0.35">
      <c r="A17" s="1" t="s">
        <v>15</v>
      </c>
      <c r="D17">
        <v>54080.000000000007</v>
      </c>
      <c r="E17">
        <v>51584</v>
      </c>
      <c r="F17">
        <v>-3.637978807091713E-12</v>
      </c>
      <c r="G17">
        <v>626574.45476784208</v>
      </c>
    </row>
    <row r="18" spans="1:7" x14ac:dyDescent="0.35">
      <c r="A18" s="1" t="s">
        <v>16</v>
      </c>
      <c r="B18">
        <v>517870.08000000002</v>
      </c>
      <c r="C18">
        <v>16120.000000000007</v>
      </c>
      <c r="D18">
        <v>49420.800000000003</v>
      </c>
      <c r="G18">
        <v>250297.39946319652</v>
      </c>
    </row>
    <row r="19" spans="1:7" x14ac:dyDescent="0.35">
      <c r="A19" s="1" t="s">
        <v>17</v>
      </c>
      <c r="B19">
        <v>35380.800000000047</v>
      </c>
      <c r="C19">
        <v>-7.2759576141834259E-12</v>
      </c>
      <c r="E19">
        <v>12896</v>
      </c>
      <c r="F19">
        <v>12688</v>
      </c>
      <c r="G19">
        <v>258055.84427098895</v>
      </c>
    </row>
    <row r="20" spans="1:7" x14ac:dyDescent="0.35">
      <c r="A20" s="1" t="s">
        <v>18</v>
      </c>
      <c r="B20">
        <v>126360</v>
      </c>
      <c r="D20">
        <v>2.9103830456733704E-11</v>
      </c>
    </row>
    <row r="21" spans="1:7" x14ac:dyDescent="0.35">
      <c r="A21" s="1" t="s">
        <v>19</v>
      </c>
      <c r="B21">
        <v>36691.200000000004</v>
      </c>
      <c r="C21">
        <v>40560</v>
      </c>
      <c r="D21">
        <v>34216</v>
      </c>
    </row>
    <row r="22" spans="1:7" x14ac:dyDescent="0.35">
      <c r="A22" s="1" t="s">
        <v>20</v>
      </c>
      <c r="B22">
        <v>113568</v>
      </c>
      <c r="C22">
        <v>1.4551915228366852E-11</v>
      </c>
      <c r="D22">
        <v>38896.000000000015</v>
      </c>
      <c r="E22">
        <v>32240</v>
      </c>
    </row>
    <row r="23" spans="1:7" x14ac:dyDescent="0.35">
      <c r="A23" s="1" t="s">
        <v>21</v>
      </c>
      <c r="B23">
        <v>183456.00000000006</v>
      </c>
      <c r="C23">
        <v>38480.000000000015</v>
      </c>
      <c r="D23">
        <v>37128.000000000029</v>
      </c>
      <c r="F23">
        <v>1268.8000000000002</v>
      </c>
    </row>
    <row r="24" spans="1:7" x14ac:dyDescent="0.35">
      <c r="A24" s="1" t="s">
        <v>22</v>
      </c>
      <c r="B24">
        <v>65520.000000000029</v>
      </c>
      <c r="C24">
        <v>23400</v>
      </c>
      <c r="D24">
        <v>19656.000000000007</v>
      </c>
      <c r="E24">
        <v>45136.000000000015</v>
      </c>
      <c r="F24">
        <v>3806.4000000000005</v>
      </c>
      <c r="G24">
        <v>282148.42233653169</v>
      </c>
    </row>
    <row r="25" spans="1:7" x14ac:dyDescent="0.35">
      <c r="A25" s="1" t="s">
        <v>23</v>
      </c>
      <c r="B25">
        <v>432432</v>
      </c>
      <c r="D25">
        <v>26083.199999999997</v>
      </c>
      <c r="F25">
        <v>5075.2000000000007</v>
      </c>
      <c r="G25">
        <v>91850.334693076962</v>
      </c>
    </row>
    <row r="26" spans="1:7" x14ac:dyDescent="0.35">
      <c r="A26" s="1" t="s">
        <v>24</v>
      </c>
      <c r="B26">
        <v>399360</v>
      </c>
      <c r="C26">
        <v>7.2759576141834259E-12</v>
      </c>
      <c r="F26">
        <v>3806.4000000000005</v>
      </c>
    </row>
    <row r="27" spans="1:7" x14ac:dyDescent="0.35">
      <c r="A27" s="1" t="s">
        <v>25</v>
      </c>
      <c r="B27">
        <v>100900.80000000002</v>
      </c>
      <c r="C27">
        <v>17159.999999999993</v>
      </c>
      <c r="D27">
        <v>1.4551915228366852E-11</v>
      </c>
      <c r="E27">
        <v>51584</v>
      </c>
      <c r="F27">
        <v>8881.5999999999985</v>
      </c>
    </row>
    <row r="28" spans="1:7" x14ac:dyDescent="0.35">
      <c r="A28" s="1" t="s">
        <v>26</v>
      </c>
      <c r="B28">
        <v>252470.40000000002</v>
      </c>
      <c r="D28">
        <v>32489.600000000006</v>
      </c>
      <c r="E28">
        <v>25792</v>
      </c>
      <c r="F28">
        <v>-3.637978807091713E-12</v>
      </c>
      <c r="G28">
        <v>268495.01293922635</v>
      </c>
    </row>
    <row r="29" spans="1:7" x14ac:dyDescent="0.35">
      <c r="A29" s="1" t="s">
        <v>27</v>
      </c>
      <c r="B29">
        <v>157684.80000000005</v>
      </c>
      <c r="C29">
        <v>1.4551915228366852E-11</v>
      </c>
      <c r="D29">
        <v>37180.000000000015</v>
      </c>
      <c r="E29">
        <v>12896</v>
      </c>
      <c r="F29">
        <v>8881.5999999999985</v>
      </c>
      <c r="G29">
        <v>126543.93810671353</v>
      </c>
    </row>
    <row r="30" spans="1:7" x14ac:dyDescent="0.35">
      <c r="A30" s="1" t="s">
        <v>28</v>
      </c>
      <c r="B30">
        <v>527155.20000000019</v>
      </c>
      <c r="D30">
        <v>16380.000000000015</v>
      </c>
      <c r="F30">
        <v>2537.6000000000004</v>
      </c>
    </row>
    <row r="31" spans="1:7" x14ac:dyDescent="0.35">
      <c r="A31" s="1" t="s">
        <v>29</v>
      </c>
      <c r="B31">
        <v>279552</v>
      </c>
      <c r="C31">
        <v>1.4551915228366852E-11</v>
      </c>
      <c r="D31">
        <v>48963.200000000012</v>
      </c>
      <c r="G31">
        <v>405130.15593991929</v>
      </c>
    </row>
    <row r="32" spans="1:7" x14ac:dyDescent="0.35">
      <c r="A32" s="1" t="s">
        <v>30</v>
      </c>
      <c r="B32">
        <v>467251.20000000007</v>
      </c>
      <c r="C32">
        <v>1.4551915228366852E-11</v>
      </c>
      <c r="D32">
        <v>25168.000000000007</v>
      </c>
      <c r="E32">
        <v>25792</v>
      </c>
    </row>
    <row r="33" spans="1:7" x14ac:dyDescent="0.35">
      <c r="A33" s="1" t="s">
        <v>31</v>
      </c>
      <c r="B33">
        <v>349440</v>
      </c>
      <c r="C33">
        <v>27040</v>
      </c>
      <c r="E33">
        <v>12896</v>
      </c>
      <c r="F33">
        <v>11419.199999999993</v>
      </c>
    </row>
    <row r="34" spans="1:7" x14ac:dyDescent="0.35">
      <c r="A34" s="1" t="s">
        <v>32</v>
      </c>
      <c r="B34">
        <v>164424</v>
      </c>
      <c r="C34">
        <v>28080</v>
      </c>
      <c r="D34">
        <v>20748.000000000007</v>
      </c>
      <c r="G34">
        <v>65013.724638815911</v>
      </c>
    </row>
    <row r="35" spans="1:7" x14ac:dyDescent="0.35">
      <c r="A35" s="1" t="s">
        <v>33</v>
      </c>
      <c r="C35">
        <v>18200</v>
      </c>
      <c r="D35">
        <v>1.4551915228366852E-11</v>
      </c>
    </row>
    <row r="36" spans="1:7" x14ac:dyDescent="0.35">
      <c r="A36" s="1" t="s">
        <v>34</v>
      </c>
      <c r="C36">
        <v>-1.4551915228366852E-11</v>
      </c>
      <c r="D36">
        <v>50336.000000000015</v>
      </c>
    </row>
    <row r="37" spans="1:7" x14ac:dyDescent="0.35">
      <c r="A37" s="1" t="s">
        <v>35</v>
      </c>
      <c r="B37">
        <v>248976</v>
      </c>
      <c r="D37">
        <v>15652.000000000022</v>
      </c>
      <c r="G37">
        <v>195964.70750658924</v>
      </c>
    </row>
    <row r="38" spans="1:7" x14ac:dyDescent="0.35">
      <c r="A38" s="1" t="s">
        <v>36</v>
      </c>
      <c r="B38">
        <v>279864.00000000012</v>
      </c>
      <c r="C38">
        <v>17680</v>
      </c>
      <c r="D38">
        <v>30576.000000000015</v>
      </c>
      <c r="E38">
        <v>12896</v>
      </c>
      <c r="G38">
        <v>50115.301540298387</v>
      </c>
    </row>
    <row r="39" spans="1:7" x14ac:dyDescent="0.35">
      <c r="A39" s="1" t="s">
        <v>37</v>
      </c>
      <c r="B39">
        <v>187200</v>
      </c>
      <c r="D39">
        <v>64896.000000000029</v>
      </c>
      <c r="F39">
        <v>5075.2000000000007</v>
      </c>
      <c r="G39">
        <v>180986.1445871194</v>
      </c>
    </row>
    <row r="40" spans="1:7" x14ac:dyDescent="0.35">
      <c r="A40" s="1" t="s">
        <v>38</v>
      </c>
      <c r="B40">
        <v>61152.000000000015</v>
      </c>
      <c r="D40">
        <v>49420.800000000003</v>
      </c>
      <c r="E40">
        <v>84240</v>
      </c>
      <c r="G40">
        <v>651688.96922597161</v>
      </c>
    </row>
    <row r="41" spans="1:7" x14ac:dyDescent="0.35">
      <c r="A41" s="1" t="s">
        <v>39</v>
      </c>
      <c r="C41">
        <v>47319.999999999985</v>
      </c>
      <c r="D41">
        <v>24252.80000000001</v>
      </c>
      <c r="F41">
        <v>10150.400000000001</v>
      </c>
      <c r="G41">
        <v>160305.5555227974</v>
      </c>
    </row>
    <row r="42" spans="1:7" x14ac:dyDescent="0.35">
      <c r="A42" s="1" t="s">
        <v>40</v>
      </c>
      <c r="B42">
        <v>151008</v>
      </c>
      <c r="C42">
        <v>36919.999999999985</v>
      </c>
      <c r="D42">
        <v>77064</v>
      </c>
      <c r="E42">
        <v>38688.000000000007</v>
      </c>
      <c r="F42">
        <v>1268.8000000000002</v>
      </c>
      <c r="G42">
        <v>184607.94030336256</v>
      </c>
    </row>
    <row r="43" spans="1:7" x14ac:dyDescent="0.35">
      <c r="A43" s="1" t="s">
        <v>41</v>
      </c>
      <c r="B43">
        <v>96096</v>
      </c>
      <c r="D43">
        <v>27664.000000000022</v>
      </c>
    </row>
    <row r="44" spans="1:7" x14ac:dyDescent="0.35">
      <c r="A44" s="1" t="s">
        <v>42</v>
      </c>
      <c r="B44">
        <v>318427.20000000007</v>
      </c>
      <c r="D44">
        <v>24024.000000000007</v>
      </c>
      <c r="F44">
        <v>7612.8000000000011</v>
      </c>
      <c r="G44">
        <v>212146.21086685039</v>
      </c>
    </row>
    <row r="45" spans="1:7" x14ac:dyDescent="0.35">
      <c r="A45" s="1" t="s">
        <v>43</v>
      </c>
      <c r="B45">
        <v>169728</v>
      </c>
      <c r="C45">
        <v>24960</v>
      </c>
      <c r="D45">
        <v>32760.000000000029</v>
      </c>
      <c r="F45">
        <v>12688</v>
      </c>
      <c r="G45">
        <v>418575.56155482784</v>
      </c>
    </row>
    <row r="46" spans="1:7" x14ac:dyDescent="0.35">
      <c r="A46" s="1" t="s">
        <v>44</v>
      </c>
      <c r="B46">
        <v>163800</v>
      </c>
      <c r="C46">
        <v>39000</v>
      </c>
      <c r="D46">
        <v>75712.000000000029</v>
      </c>
      <c r="F46">
        <v>3806.4000000000005</v>
      </c>
      <c r="G46">
        <v>137168.32696208276</v>
      </c>
    </row>
    <row r="47" spans="1:7" x14ac:dyDescent="0.35">
      <c r="A47" s="1" t="s">
        <v>45</v>
      </c>
      <c r="D47">
        <v>68276.000000000029</v>
      </c>
      <c r="E47">
        <v>32240</v>
      </c>
      <c r="F47">
        <v>1268.8000000000002</v>
      </c>
    </row>
    <row r="48" spans="1:7" x14ac:dyDescent="0.35">
      <c r="A48" s="1" t="s">
        <v>46</v>
      </c>
      <c r="B48">
        <v>247104.00000000012</v>
      </c>
      <c r="D48">
        <v>21840.000000000007</v>
      </c>
      <c r="G48">
        <v>203104.71516205871</v>
      </c>
    </row>
    <row r="49" spans="1:7" x14ac:dyDescent="0.35">
      <c r="A49" s="1" t="s">
        <v>47</v>
      </c>
      <c r="B49">
        <v>5.8207660913467407E-11</v>
      </c>
      <c r="F49">
        <v>5075.2000000000007</v>
      </c>
    </row>
    <row r="50" spans="1:7" x14ac:dyDescent="0.35">
      <c r="A50" s="1" t="s">
        <v>48</v>
      </c>
      <c r="B50">
        <v>320785.91999999998</v>
      </c>
      <c r="C50">
        <v>47840.000000000015</v>
      </c>
      <c r="D50">
        <v>28392.000000000007</v>
      </c>
      <c r="E50">
        <v>32240</v>
      </c>
      <c r="G50">
        <v>634501.14677610993</v>
      </c>
    </row>
    <row r="51" spans="1:7" x14ac:dyDescent="0.35">
      <c r="A51" s="1" t="s">
        <v>49</v>
      </c>
      <c r="B51">
        <v>464006.40000000002</v>
      </c>
      <c r="C51">
        <v>1.4551915228366852E-11</v>
      </c>
      <c r="D51">
        <v>29744.000000000004</v>
      </c>
      <c r="E51">
        <v>19344.000000000004</v>
      </c>
      <c r="F51">
        <v>-3.637978807091713E-12</v>
      </c>
    </row>
    <row r="52" spans="1:7" x14ac:dyDescent="0.35">
      <c r="A52" s="1" t="s">
        <v>50</v>
      </c>
      <c r="B52">
        <v>342451.20000000007</v>
      </c>
      <c r="D52">
        <v>37856.000000000015</v>
      </c>
      <c r="E52">
        <v>38688.000000000007</v>
      </c>
      <c r="F52">
        <v>10150.400000000001</v>
      </c>
    </row>
    <row r="53" spans="1:7" x14ac:dyDescent="0.35">
      <c r="A53" s="1" t="s">
        <v>51</v>
      </c>
      <c r="B53">
        <v>62899.199999999953</v>
      </c>
      <c r="C53">
        <v>1.4551915228366852E-11</v>
      </c>
      <c r="D53">
        <v>31096.000000000004</v>
      </c>
      <c r="E53">
        <v>84240</v>
      </c>
    </row>
    <row r="54" spans="1:7" x14ac:dyDescent="0.35">
      <c r="A54" s="1" t="s">
        <v>52</v>
      </c>
      <c r="B54">
        <v>104133.12</v>
      </c>
      <c r="C54">
        <v>52000</v>
      </c>
      <c r="D54">
        <v>29848.000000000015</v>
      </c>
      <c r="E54">
        <v>45136.000000000015</v>
      </c>
      <c r="F54">
        <v>11419.199999999993</v>
      </c>
      <c r="G54">
        <v>191792.9242607925</v>
      </c>
    </row>
    <row r="55" spans="1:7" x14ac:dyDescent="0.35">
      <c r="A55" s="1" t="s">
        <v>53</v>
      </c>
      <c r="B55">
        <v>107640.00000000006</v>
      </c>
      <c r="C55">
        <v>24960</v>
      </c>
      <c r="E55">
        <v>19344.000000000004</v>
      </c>
    </row>
    <row r="56" spans="1:7" x14ac:dyDescent="0.35">
      <c r="A56" s="1" t="s">
        <v>54</v>
      </c>
      <c r="B56">
        <v>149760</v>
      </c>
      <c r="D56">
        <v>30576.000000000015</v>
      </c>
      <c r="E56">
        <v>32240</v>
      </c>
      <c r="F56">
        <v>-3.637978807091713E-12</v>
      </c>
    </row>
    <row r="57" spans="1:7" x14ac:dyDescent="0.35">
      <c r="A57" s="1" t="s">
        <v>55</v>
      </c>
      <c r="B57">
        <v>1.1641532182693481E-10</v>
      </c>
      <c r="C57">
        <v>52000</v>
      </c>
      <c r="D57">
        <v>37065.600000000013</v>
      </c>
      <c r="E57">
        <v>38688.000000000007</v>
      </c>
      <c r="G57">
        <v>57530.899550335162</v>
      </c>
    </row>
    <row r="58" spans="1:7" x14ac:dyDescent="0.35">
      <c r="A58" s="1" t="s">
        <v>56</v>
      </c>
      <c r="B58">
        <v>52416.000000000007</v>
      </c>
      <c r="C58">
        <v>41600</v>
      </c>
      <c r="D58">
        <v>40768.000000000029</v>
      </c>
      <c r="F58">
        <v>6344</v>
      </c>
    </row>
    <row r="59" spans="1:7" x14ac:dyDescent="0.35">
      <c r="A59" s="1" t="s">
        <v>57</v>
      </c>
      <c r="B59">
        <v>82368</v>
      </c>
      <c r="C59">
        <v>26520</v>
      </c>
      <c r="D59">
        <v>1.4551915228366852E-11</v>
      </c>
      <c r="G59">
        <v>113210.52860739059</v>
      </c>
    </row>
    <row r="60" spans="1:7" x14ac:dyDescent="0.35">
      <c r="A60" s="1" t="s">
        <v>58</v>
      </c>
      <c r="B60">
        <v>387504.00000000006</v>
      </c>
      <c r="D60">
        <v>16380.000000000015</v>
      </c>
      <c r="E60">
        <v>38688.000000000007</v>
      </c>
      <c r="F60">
        <v>10150.400000000001</v>
      </c>
    </row>
    <row r="61" spans="1:7" x14ac:dyDescent="0.35">
      <c r="A61" s="1" t="s">
        <v>59</v>
      </c>
      <c r="B61">
        <v>142571.52000000002</v>
      </c>
      <c r="C61">
        <v>15600</v>
      </c>
      <c r="D61">
        <v>33124</v>
      </c>
      <c r="E61">
        <v>45136.000000000015</v>
      </c>
      <c r="F61">
        <v>3806.4000000000005</v>
      </c>
      <c r="G61">
        <v>199596.02641846496</v>
      </c>
    </row>
    <row r="62" spans="1:7" x14ac:dyDescent="0.35">
      <c r="A62" s="1" t="s">
        <v>60</v>
      </c>
      <c r="B62">
        <v>146764.80000000008</v>
      </c>
      <c r="C62">
        <v>50960</v>
      </c>
      <c r="D62">
        <v>31304.000000000029</v>
      </c>
      <c r="G62">
        <v>266102.52594354405</v>
      </c>
    </row>
    <row r="63" spans="1:7" x14ac:dyDescent="0.35">
      <c r="A63" s="1" t="s">
        <v>61</v>
      </c>
      <c r="B63">
        <v>97843.200000000041</v>
      </c>
      <c r="C63">
        <v>31719.999999999985</v>
      </c>
      <c r="F63">
        <v>5075.2000000000007</v>
      </c>
    </row>
    <row r="64" spans="1:7" x14ac:dyDescent="0.35">
      <c r="A64" s="1" t="s">
        <v>62</v>
      </c>
      <c r="B64">
        <v>271252.80000000016</v>
      </c>
      <c r="C64">
        <v>44719.999999999985</v>
      </c>
      <c r="D64">
        <v>33488.000000000015</v>
      </c>
      <c r="F64">
        <v>7612.8000000000011</v>
      </c>
    </row>
    <row r="65" spans="1:7" x14ac:dyDescent="0.35">
      <c r="A65" s="1" t="s">
        <v>63</v>
      </c>
      <c r="B65">
        <v>97843.200000000012</v>
      </c>
      <c r="C65">
        <v>25480</v>
      </c>
      <c r="D65">
        <v>50700.000000000007</v>
      </c>
    </row>
    <row r="66" spans="1:7" x14ac:dyDescent="0.35">
      <c r="A66" s="1" t="s">
        <v>64</v>
      </c>
      <c r="B66">
        <v>475937.28000000003</v>
      </c>
      <c r="C66">
        <v>46280.000000000015</v>
      </c>
      <c r="D66">
        <v>77064</v>
      </c>
      <c r="F66">
        <v>6344</v>
      </c>
    </row>
    <row r="67" spans="1:7" x14ac:dyDescent="0.35">
      <c r="A67" s="1" t="s">
        <v>65</v>
      </c>
      <c r="B67">
        <v>137592</v>
      </c>
      <c r="C67">
        <v>33800</v>
      </c>
      <c r="D67">
        <v>1.4551915228366852E-11</v>
      </c>
    </row>
    <row r="68" spans="1:7" x14ac:dyDescent="0.35">
      <c r="A68" s="1" t="s">
        <v>66</v>
      </c>
      <c r="B68">
        <v>15724.799999999988</v>
      </c>
      <c r="D68">
        <v>26208.000000000022</v>
      </c>
      <c r="E68">
        <v>51584</v>
      </c>
      <c r="F68">
        <v>1268.8000000000002</v>
      </c>
    </row>
    <row r="69" spans="1:7" x14ac:dyDescent="0.35">
      <c r="A69" s="1" t="s">
        <v>67</v>
      </c>
      <c r="B69">
        <v>41932.800000000003</v>
      </c>
      <c r="C69">
        <v>43160</v>
      </c>
      <c r="D69">
        <v>31772.000000000004</v>
      </c>
      <c r="E69">
        <v>38688.000000000007</v>
      </c>
      <c r="F69">
        <v>10150.400000000001</v>
      </c>
    </row>
    <row r="70" spans="1:7" x14ac:dyDescent="0.35">
      <c r="A70" s="1" t="s">
        <v>68</v>
      </c>
      <c r="B70">
        <v>243360</v>
      </c>
      <c r="C70">
        <v>30160</v>
      </c>
      <c r="D70">
        <v>62192.000000000022</v>
      </c>
      <c r="E70">
        <v>19344.000000000004</v>
      </c>
      <c r="G70">
        <v>281640.65458900912</v>
      </c>
    </row>
    <row r="71" spans="1:7" x14ac:dyDescent="0.35">
      <c r="A71" s="1" t="s">
        <v>69</v>
      </c>
      <c r="B71">
        <v>219648</v>
      </c>
      <c r="D71">
        <v>51251.200000000026</v>
      </c>
      <c r="F71">
        <v>7612.8000000000011</v>
      </c>
    </row>
    <row r="72" spans="1:7" x14ac:dyDescent="0.35">
      <c r="A72" s="1" t="s">
        <v>70</v>
      </c>
      <c r="C72">
        <v>1.4551915228366852E-11</v>
      </c>
      <c r="E72">
        <v>12896</v>
      </c>
      <c r="G72">
        <v>162924.10553155193</v>
      </c>
    </row>
    <row r="73" spans="1:7" x14ac:dyDescent="0.35">
      <c r="A73" s="1" t="s">
        <v>71</v>
      </c>
      <c r="B73">
        <v>1.1641532182693481E-10</v>
      </c>
      <c r="C73">
        <v>42640.000000000015</v>
      </c>
      <c r="D73">
        <v>49348.000000000007</v>
      </c>
      <c r="F73">
        <v>7612.8000000000011</v>
      </c>
      <c r="G73">
        <v>490009.00622242427</v>
      </c>
    </row>
    <row r="74" spans="1:7" x14ac:dyDescent="0.35">
      <c r="A74" s="1" t="s">
        <v>72</v>
      </c>
      <c r="B74">
        <v>82992</v>
      </c>
      <c r="C74">
        <v>47840.000000000015</v>
      </c>
      <c r="D74">
        <v>26208.000000000022</v>
      </c>
      <c r="E74">
        <v>6448</v>
      </c>
      <c r="F74">
        <v>10150.400000000001</v>
      </c>
    </row>
    <row r="75" spans="1:7" x14ac:dyDescent="0.35">
      <c r="A75" s="1" t="s">
        <v>73</v>
      </c>
      <c r="C75">
        <v>34840.000000000015</v>
      </c>
      <c r="D75">
        <v>29484.000000000029</v>
      </c>
      <c r="E75">
        <v>25792</v>
      </c>
      <c r="G75">
        <v>408060.99351957819</v>
      </c>
    </row>
    <row r="76" spans="1:7" x14ac:dyDescent="0.35">
      <c r="A76" s="1" t="s">
        <v>74</v>
      </c>
      <c r="B76">
        <v>356928</v>
      </c>
      <c r="C76">
        <v>28600</v>
      </c>
      <c r="D76">
        <v>36150.400000000001</v>
      </c>
      <c r="E76">
        <v>6448</v>
      </c>
    </row>
    <row r="77" spans="1:7" x14ac:dyDescent="0.35">
      <c r="A77" s="1" t="s">
        <v>75</v>
      </c>
      <c r="B77">
        <v>658944</v>
      </c>
      <c r="C77">
        <v>40040.000000000015</v>
      </c>
      <c r="D77">
        <v>21840.000000000007</v>
      </c>
      <c r="E77">
        <v>51584</v>
      </c>
      <c r="F77">
        <v>11419.199999999993</v>
      </c>
      <c r="G77">
        <v>141870.41543740698</v>
      </c>
    </row>
    <row r="78" spans="1:7" x14ac:dyDescent="0.35">
      <c r="A78" s="1" t="s">
        <v>76</v>
      </c>
      <c r="B78">
        <v>251596.80000000005</v>
      </c>
      <c r="C78">
        <v>21840.000000000007</v>
      </c>
      <c r="D78">
        <v>1.4551915228366852E-11</v>
      </c>
      <c r="E78">
        <v>25792</v>
      </c>
      <c r="F78">
        <v>1268.8000000000002</v>
      </c>
      <c r="G78">
        <v>110113.11984252182</v>
      </c>
    </row>
    <row r="79" spans="1:7" x14ac:dyDescent="0.35">
      <c r="A79" s="1" t="s">
        <v>77</v>
      </c>
      <c r="C79">
        <v>43160</v>
      </c>
      <c r="D79">
        <v>39312.000000000015</v>
      </c>
      <c r="G79">
        <v>-5.8207660913467407E-11</v>
      </c>
    </row>
    <row r="80" spans="1:7" x14ac:dyDescent="0.35">
      <c r="A80" s="1" t="s">
        <v>78</v>
      </c>
      <c r="B80">
        <v>267321.60000000009</v>
      </c>
      <c r="D80">
        <v>51251.200000000026</v>
      </c>
    </row>
    <row r="81" spans="1:7" x14ac:dyDescent="0.35">
      <c r="A81" s="1" t="s">
        <v>79</v>
      </c>
      <c r="B81">
        <v>827424</v>
      </c>
      <c r="C81">
        <v>34319.999999999985</v>
      </c>
      <c r="D81">
        <v>46644.000000000007</v>
      </c>
      <c r="E81">
        <v>58032</v>
      </c>
      <c r="F81">
        <v>11419.199999999993</v>
      </c>
    </row>
    <row r="82" spans="1:7" x14ac:dyDescent="0.35">
      <c r="A82" s="1" t="s">
        <v>80</v>
      </c>
      <c r="B82">
        <v>78624</v>
      </c>
      <c r="F82">
        <v>3806.4000000000005</v>
      </c>
    </row>
    <row r="83" spans="1:7" x14ac:dyDescent="0.35">
      <c r="A83" s="1" t="s">
        <v>81</v>
      </c>
      <c r="B83">
        <v>363792.00000000012</v>
      </c>
      <c r="C83">
        <v>36400</v>
      </c>
      <c r="D83">
        <v>31574.400000000001</v>
      </c>
      <c r="E83">
        <v>6448</v>
      </c>
      <c r="F83">
        <v>8881.5999999999985</v>
      </c>
    </row>
    <row r="84" spans="1:7" x14ac:dyDescent="0.35">
      <c r="A84" s="1" t="s">
        <v>82</v>
      </c>
      <c r="D84">
        <v>47590.400000000009</v>
      </c>
      <c r="E84">
        <v>51584</v>
      </c>
    </row>
    <row r="85" spans="1:7" x14ac:dyDescent="0.35">
      <c r="A85" s="1" t="s">
        <v>83</v>
      </c>
      <c r="B85">
        <v>37128</v>
      </c>
      <c r="C85">
        <v>27040</v>
      </c>
      <c r="D85">
        <v>29484.000000000029</v>
      </c>
      <c r="F85">
        <v>3806.4000000000005</v>
      </c>
    </row>
    <row r="86" spans="1:7" x14ac:dyDescent="0.35">
      <c r="A86" s="1" t="s">
        <v>84</v>
      </c>
      <c r="B86">
        <v>88920</v>
      </c>
      <c r="C86">
        <v>24440.000000000007</v>
      </c>
      <c r="E86">
        <v>51584</v>
      </c>
      <c r="F86">
        <v>-3.637978807091713E-12</v>
      </c>
    </row>
    <row r="87" spans="1:7" x14ac:dyDescent="0.35">
      <c r="A87" s="1" t="s">
        <v>85</v>
      </c>
      <c r="B87">
        <v>355680</v>
      </c>
      <c r="C87">
        <v>52000</v>
      </c>
      <c r="D87">
        <v>51376.000000000022</v>
      </c>
      <c r="E87">
        <v>32240</v>
      </c>
    </row>
    <row r="88" spans="1:7" x14ac:dyDescent="0.35">
      <c r="A88" s="1" t="s">
        <v>86</v>
      </c>
      <c r="B88">
        <v>294840</v>
      </c>
      <c r="C88">
        <v>22360</v>
      </c>
      <c r="E88">
        <v>19344.000000000004</v>
      </c>
      <c r="G88">
        <v>172825.35679742871</v>
      </c>
    </row>
    <row r="89" spans="1:7" x14ac:dyDescent="0.35">
      <c r="A89" s="1" t="s">
        <v>87</v>
      </c>
      <c r="B89">
        <v>101512.32000000004</v>
      </c>
      <c r="C89">
        <v>30680</v>
      </c>
      <c r="D89">
        <v>29484.000000000029</v>
      </c>
      <c r="E89">
        <v>6448</v>
      </c>
      <c r="G89">
        <v>350553.74900148704</v>
      </c>
    </row>
    <row r="90" spans="1:7" x14ac:dyDescent="0.35">
      <c r="A90" s="1" t="s">
        <v>88</v>
      </c>
      <c r="B90">
        <v>528353.28000000003</v>
      </c>
      <c r="C90">
        <v>7.2759576141834259E-12</v>
      </c>
      <c r="E90">
        <v>6448</v>
      </c>
      <c r="F90">
        <v>7612.8000000000011</v>
      </c>
      <c r="G90">
        <v>455202.60571590031</v>
      </c>
    </row>
    <row r="91" spans="1:7" x14ac:dyDescent="0.35">
      <c r="A91" s="1" t="s">
        <v>89</v>
      </c>
      <c r="D91">
        <v>34216</v>
      </c>
    </row>
    <row r="92" spans="1:7" x14ac:dyDescent="0.35">
      <c r="A92" s="1" t="s">
        <v>90</v>
      </c>
      <c r="B92">
        <v>638976</v>
      </c>
      <c r="C92">
        <v>15600</v>
      </c>
      <c r="D92">
        <v>53996.800000000003</v>
      </c>
      <c r="E92">
        <v>38688.000000000007</v>
      </c>
    </row>
    <row r="93" spans="1:7" x14ac:dyDescent="0.35">
      <c r="A93" s="1" t="s">
        <v>91</v>
      </c>
      <c r="B93">
        <v>685164.48</v>
      </c>
      <c r="C93">
        <v>44200</v>
      </c>
      <c r="E93">
        <v>65520</v>
      </c>
      <c r="F93">
        <v>8881.5999999999985</v>
      </c>
    </row>
    <row r="94" spans="1:7" x14ac:dyDescent="0.35">
      <c r="A94" s="1" t="s">
        <v>92</v>
      </c>
      <c r="B94">
        <v>82368</v>
      </c>
      <c r="D94">
        <v>23795.200000000004</v>
      </c>
      <c r="G94">
        <v>136559.80562167778</v>
      </c>
    </row>
    <row r="95" spans="1:7" x14ac:dyDescent="0.35">
      <c r="A95" s="1" t="s">
        <v>93</v>
      </c>
      <c r="B95">
        <v>253344.00000000009</v>
      </c>
      <c r="C95">
        <v>39000</v>
      </c>
      <c r="D95">
        <v>17836.000000000007</v>
      </c>
      <c r="E95">
        <v>32240</v>
      </c>
      <c r="G95">
        <v>604638.38899335999</v>
      </c>
    </row>
    <row r="96" spans="1:7" x14ac:dyDescent="0.35">
      <c r="A96" s="1" t="s">
        <v>94</v>
      </c>
      <c r="B96">
        <v>174720</v>
      </c>
      <c r="C96">
        <v>28080</v>
      </c>
      <c r="D96">
        <v>7.2759576141834259E-12</v>
      </c>
      <c r="F96">
        <v>10150.400000000001</v>
      </c>
    </row>
    <row r="97" spans="1:7" x14ac:dyDescent="0.35">
      <c r="A97" s="1" t="s">
        <v>95</v>
      </c>
      <c r="B97">
        <v>203286.72</v>
      </c>
      <c r="C97">
        <v>7.2759576141834259E-12</v>
      </c>
      <c r="D97">
        <v>68276.000000000015</v>
      </c>
      <c r="E97">
        <v>45136.000000000015</v>
      </c>
    </row>
    <row r="98" spans="1:7" x14ac:dyDescent="0.35">
      <c r="A98" s="1" t="s">
        <v>96</v>
      </c>
      <c r="C98">
        <v>42119.999999999985</v>
      </c>
      <c r="D98">
        <v>36504</v>
      </c>
    </row>
    <row r="99" spans="1:7" x14ac:dyDescent="0.35">
      <c r="A99" s="1" t="s">
        <v>97</v>
      </c>
      <c r="C99">
        <v>48360</v>
      </c>
      <c r="E99">
        <v>25792</v>
      </c>
      <c r="G99">
        <v>151899.45828511455</v>
      </c>
    </row>
    <row r="100" spans="1:7" x14ac:dyDescent="0.35">
      <c r="A100" s="1" t="s">
        <v>98</v>
      </c>
      <c r="B100">
        <v>447283.20000000001</v>
      </c>
      <c r="C100">
        <v>30680</v>
      </c>
      <c r="D100">
        <v>64220.000000000022</v>
      </c>
      <c r="E100">
        <v>6448</v>
      </c>
    </row>
    <row r="101" spans="1:7" x14ac:dyDescent="0.35">
      <c r="A101" s="1" t="s">
        <v>99</v>
      </c>
      <c r="B101">
        <v>661939.19999999995</v>
      </c>
      <c r="C101">
        <v>7.2759576141834259E-12</v>
      </c>
      <c r="D101">
        <v>41184.000000000015</v>
      </c>
      <c r="E101">
        <v>58032</v>
      </c>
      <c r="F101">
        <v>8881.5999999999985</v>
      </c>
    </row>
    <row r="102" spans="1:7" x14ac:dyDescent="0.35">
      <c r="A102" s="1" t="s">
        <v>100</v>
      </c>
      <c r="B102">
        <v>340704</v>
      </c>
      <c r="C102">
        <v>51480</v>
      </c>
      <c r="D102">
        <v>17108</v>
      </c>
      <c r="E102">
        <v>19344.000000000004</v>
      </c>
      <c r="F102">
        <v>-3.637978807091713E-12</v>
      </c>
      <c r="G102">
        <v>135537.35059056772</v>
      </c>
    </row>
    <row r="103" spans="1:7" x14ac:dyDescent="0.35">
      <c r="A103" s="1" t="s">
        <v>101</v>
      </c>
      <c r="B103">
        <v>116812.79999999999</v>
      </c>
      <c r="C103">
        <v>1.4551915228366852E-11</v>
      </c>
      <c r="D103">
        <v>20134.400000000001</v>
      </c>
      <c r="E103">
        <v>38688.000000000007</v>
      </c>
      <c r="F103">
        <v>2537.6000000000004</v>
      </c>
      <c r="G103">
        <v>362907.86431134841</v>
      </c>
    </row>
    <row r="104" spans="1:7" x14ac:dyDescent="0.35">
      <c r="A104" s="1" t="s">
        <v>102</v>
      </c>
      <c r="B104">
        <v>398112</v>
      </c>
      <c r="C104">
        <v>1.4551915228366852E-11</v>
      </c>
      <c r="D104">
        <v>38438.400000000001</v>
      </c>
      <c r="E104">
        <v>25792</v>
      </c>
      <c r="F104">
        <v>5075.2000000000007</v>
      </c>
    </row>
    <row r="105" spans="1:7" x14ac:dyDescent="0.35">
      <c r="A105" s="1" t="s">
        <v>103</v>
      </c>
      <c r="B105">
        <v>134534.40000000008</v>
      </c>
      <c r="C105">
        <v>43680.000000000015</v>
      </c>
      <c r="D105">
        <v>39676.000000000015</v>
      </c>
      <c r="E105">
        <v>19344.000000000004</v>
      </c>
      <c r="F105">
        <v>7612.8000000000011</v>
      </c>
    </row>
    <row r="106" spans="1:7" x14ac:dyDescent="0.35">
      <c r="A106" s="1" t="s">
        <v>104</v>
      </c>
      <c r="B106">
        <v>288287.99999999977</v>
      </c>
      <c r="D106">
        <v>45292</v>
      </c>
      <c r="E106">
        <v>6448</v>
      </c>
      <c r="F106">
        <v>3806.4000000000005</v>
      </c>
      <c r="G106">
        <v>201698.93793399227</v>
      </c>
    </row>
    <row r="107" spans="1:7" x14ac:dyDescent="0.35">
      <c r="A107" s="1" t="s">
        <v>105</v>
      </c>
      <c r="C107">
        <v>7.2759576141834259E-12</v>
      </c>
      <c r="D107">
        <v>25480.000000000007</v>
      </c>
      <c r="E107">
        <v>12896</v>
      </c>
      <c r="F107">
        <v>11419.199999999993</v>
      </c>
      <c r="G107">
        <v>209656.75830247503</v>
      </c>
    </row>
    <row r="108" spans="1:7" x14ac:dyDescent="0.35">
      <c r="A108" s="1" t="s">
        <v>106</v>
      </c>
      <c r="B108">
        <v>73819.200000000026</v>
      </c>
      <c r="D108">
        <v>33488.000000000015</v>
      </c>
      <c r="G108">
        <v>517948.3311252261</v>
      </c>
    </row>
    <row r="109" spans="1:7" x14ac:dyDescent="0.35">
      <c r="A109" s="1" t="s">
        <v>107</v>
      </c>
      <c r="B109">
        <v>101337.60000000001</v>
      </c>
      <c r="D109">
        <v>37856.000000000015</v>
      </c>
      <c r="E109">
        <v>19344.000000000004</v>
      </c>
      <c r="G109">
        <v>208964.02411347278</v>
      </c>
    </row>
    <row r="110" spans="1:7" x14ac:dyDescent="0.35">
      <c r="A110" s="1" t="s">
        <v>108</v>
      </c>
      <c r="B110">
        <v>151008</v>
      </c>
      <c r="C110">
        <v>23400</v>
      </c>
      <c r="D110">
        <v>40560</v>
      </c>
      <c r="E110">
        <v>19344.000000000004</v>
      </c>
      <c r="F110">
        <v>8881.5999999999985</v>
      </c>
    </row>
    <row r="111" spans="1:7" x14ac:dyDescent="0.35">
      <c r="A111" s="1" t="s">
        <v>109</v>
      </c>
      <c r="B111">
        <v>190008</v>
      </c>
      <c r="C111">
        <v>40560</v>
      </c>
      <c r="F111">
        <v>5075.2000000000007</v>
      </c>
    </row>
    <row r="112" spans="1:7" x14ac:dyDescent="0.35">
      <c r="A112" s="1" t="s">
        <v>110</v>
      </c>
      <c r="C112">
        <v>20280</v>
      </c>
      <c r="D112">
        <v>46675.200000000026</v>
      </c>
      <c r="F112">
        <v>-3.637978807091713E-12</v>
      </c>
    </row>
    <row r="113" spans="1:7" x14ac:dyDescent="0.35">
      <c r="A113" s="1" t="s">
        <v>111</v>
      </c>
      <c r="B113">
        <v>273000.00000000023</v>
      </c>
      <c r="C113">
        <v>1.4551915228366852E-11</v>
      </c>
      <c r="E113">
        <v>45136.000000000015</v>
      </c>
    </row>
    <row r="114" spans="1:7" x14ac:dyDescent="0.35">
      <c r="A114" s="1" t="s">
        <v>112</v>
      </c>
      <c r="B114">
        <v>33696</v>
      </c>
      <c r="C114">
        <v>40560</v>
      </c>
      <c r="E114">
        <v>32240</v>
      </c>
      <c r="F114">
        <v>12688</v>
      </c>
      <c r="G114">
        <v>262621.7293495721</v>
      </c>
    </row>
    <row r="115" spans="1:7" x14ac:dyDescent="0.35">
      <c r="A115" s="1" t="s">
        <v>113</v>
      </c>
      <c r="B115">
        <v>90854.400000000052</v>
      </c>
      <c r="C115">
        <v>7.2759576141834259E-12</v>
      </c>
      <c r="D115">
        <v>28756.000000000007</v>
      </c>
    </row>
    <row r="116" spans="1:7" x14ac:dyDescent="0.35">
      <c r="A116" s="1" t="s">
        <v>114</v>
      </c>
      <c r="C116">
        <v>39519.999999999985</v>
      </c>
      <c r="D116">
        <v>50336.000000000015</v>
      </c>
      <c r="F116">
        <v>1268.8000000000002</v>
      </c>
      <c r="G116">
        <v>438595.50724641827</v>
      </c>
    </row>
    <row r="117" spans="1:7" x14ac:dyDescent="0.35">
      <c r="A117" s="1" t="s">
        <v>115</v>
      </c>
      <c r="C117">
        <v>20280</v>
      </c>
      <c r="D117">
        <v>16744.000000000015</v>
      </c>
      <c r="E117">
        <v>32240</v>
      </c>
      <c r="F117">
        <v>8881.5999999999985</v>
      </c>
    </row>
    <row r="118" spans="1:7" x14ac:dyDescent="0.35">
      <c r="A118" s="1" t="s">
        <v>116</v>
      </c>
      <c r="B118">
        <v>235872.00000000012</v>
      </c>
      <c r="C118">
        <v>7.2759576141834259E-12</v>
      </c>
      <c r="D118">
        <v>7.2759576141834259E-12</v>
      </c>
      <c r="E118">
        <v>51584</v>
      </c>
    </row>
    <row r="119" spans="1:7" x14ac:dyDescent="0.35">
      <c r="A119" s="1" t="s">
        <v>117</v>
      </c>
      <c r="B119">
        <v>352684.80000000005</v>
      </c>
      <c r="E119">
        <v>65520</v>
      </c>
      <c r="F119">
        <v>7612.8000000000011</v>
      </c>
    </row>
    <row r="120" spans="1:7" x14ac:dyDescent="0.35">
      <c r="A120" s="1" t="s">
        <v>118</v>
      </c>
      <c r="B120">
        <v>252720</v>
      </c>
      <c r="D120">
        <v>1.4551915228366852E-11</v>
      </c>
      <c r="F120">
        <v>7612.8000000000011</v>
      </c>
    </row>
    <row r="121" spans="1:7" x14ac:dyDescent="0.35">
      <c r="A121" s="1" t="s">
        <v>119</v>
      </c>
      <c r="B121">
        <v>730080</v>
      </c>
      <c r="C121">
        <v>52000</v>
      </c>
      <c r="D121">
        <v>36608</v>
      </c>
      <c r="F121">
        <v>-3.637978807091713E-12</v>
      </c>
      <c r="G121">
        <v>149762.02293427612</v>
      </c>
    </row>
    <row r="122" spans="1:7" x14ac:dyDescent="0.35">
      <c r="A122" s="1" t="s">
        <v>120</v>
      </c>
      <c r="B122">
        <v>26208</v>
      </c>
      <c r="C122">
        <v>28080</v>
      </c>
      <c r="D122">
        <v>44844.800000000003</v>
      </c>
      <c r="E122">
        <v>38688.000000000007</v>
      </c>
      <c r="G122">
        <v>5.8207660913467407E-11</v>
      </c>
    </row>
    <row r="123" spans="1:7" x14ac:dyDescent="0.35">
      <c r="A123" s="1" t="s">
        <v>121</v>
      </c>
      <c r="B123">
        <v>136980.48000000004</v>
      </c>
      <c r="D123">
        <v>29744</v>
      </c>
      <c r="E123">
        <v>38688.000000000007</v>
      </c>
      <c r="F123">
        <v>7612.8000000000011</v>
      </c>
      <c r="G123">
        <v>51084.036483656906</v>
      </c>
    </row>
    <row r="124" spans="1:7" x14ac:dyDescent="0.35">
      <c r="A124" s="1" t="s">
        <v>122</v>
      </c>
      <c r="B124">
        <v>68140.800000000003</v>
      </c>
      <c r="C124">
        <v>27560</v>
      </c>
      <c r="D124">
        <v>47590.400000000009</v>
      </c>
      <c r="E124">
        <v>45136.000000000015</v>
      </c>
      <c r="F124">
        <v>-3.637978807091713E-12</v>
      </c>
    </row>
    <row r="125" spans="1:7" x14ac:dyDescent="0.35">
      <c r="A125" s="1" t="s">
        <v>123</v>
      </c>
      <c r="B125">
        <v>98280.000000000058</v>
      </c>
      <c r="C125">
        <v>34840.000000000015</v>
      </c>
      <c r="D125">
        <v>1.4551915228366852E-11</v>
      </c>
      <c r="F125">
        <v>5075.2000000000007</v>
      </c>
    </row>
    <row r="126" spans="1:7" x14ac:dyDescent="0.35">
      <c r="A126" s="1" t="s">
        <v>124</v>
      </c>
      <c r="C126">
        <v>30680</v>
      </c>
      <c r="D126">
        <v>41236.000000000007</v>
      </c>
      <c r="E126">
        <v>12896</v>
      </c>
      <c r="G126">
        <v>440825.33517820563</v>
      </c>
    </row>
    <row r="127" spans="1:7" x14ac:dyDescent="0.35">
      <c r="A127" s="1" t="s">
        <v>125</v>
      </c>
      <c r="C127">
        <v>42119.999999999985</v>
      </c>
      <c r="D127">
        <v>45292</v>
      </c>
      <c r="E127">
        <v>58032</v>
      </c>
    </row>
    <row r="128" spans="1:7" x14ac:dyDescent="0.35">
      <c r="A128" s="1" t="s">
        <v>126</v>
      </c>
      <c r="C128">
        <v>16120.000000000015</v>
      </c>
      <c r="D128">
        <v>33800.000000000015</v>
      </c>
      <c r="G128">
        <v>384753.0934145489</v>
      </c>
    </row>
    <row r="129" spans="1:7" x14ac:dyDescent="0.35">
      <c r="A129" s="1" t="s">
        <v>127</v>
      </c>
      <c r="B129">
        <v>144144</v>
      </c>
      <c r="C129">
        <v>1.4551915228366852E-11</v>
      </c>
      <c r="D129">
        <v>45968.000000000007</v>
      </c>
      <c r="E129">
        <v>12896</v>
      </c>
      <c r="F129">
        <v>8881.5999999999985</v>
      </c>
      <c r="G129">
        <v>108005.63686129369</v>
      </c>
    </row>
    <row r="130" spans="1:7" x14ac:dyDescent="0.35">
      <c r="A130" s="1" t="s">
        <v>128</v>
      </c>
      <c r="B130">
        <v>157684.79999999993</v>
      </c>
      <c r="C130">
        <v>26520</v>
      </c>
      <c r="G130">
        <v>292794.51326548256</v>
      </c>
    </row>
    <row r="131" spans="1:7" x14ac:dyDescent="0.35">
      <c r="A131" s="1" t="s">
        <v>129</v>
      </c>
      <c r="B131">
        <v>105705.60000000001</v>
      </c>
      <c r="C131">
        <v>7.2759576141834259E-12</v>
      </c>
      <c r="D131">
        <v>1.4551915228366852E-11</v>
      </c>
      <c r="E131">
        <v>51584</v>
      </c>
      <c r="F131">
        <v>3806.4000000000005</v>
      </c>
      <c r="G131">
        <v>60069.992709298735</v>
      </c>
    </row>
    <row r="132" spans="1:7" x14ac:dyDescent="0.35">
      <c r="A132" s="1" t="s">
        <v>130</v>
      </c>
      <c r="B132">
        <v>226512.00000000006</v>
      </c>
      <c r="D132">
        <v>39312.000000000015</v>
      </c>
      <c r="E132">
        <v>51584</v>
      </c>
      <c r="F132">
        <v>7612.8000000000011</v>
      </c>
    </row>
    <row r="133" spans="1:7" x14ac:dyDescent="0.35">
      <c r="A133" s="1" t="s">
        <v>131</v>
      </c>
      <c r="B133">
        <v>856939.2</v>
      </c>
      <c r="C133">
        <v>35360</v>
      </c>
      <c r="D133">
        <v>19676.8</v>
      </c>
    </row>
    <row r="134" spans="1:7" x14ac:dyDescent="0.35">
      <c r="A134" s="1" t="s">
        <v>132</v>
      </c>
      <c r="B134">
        <v>65707.199999999997</v>
      </c>
      <c r="C134">
        <v>33800</v>
      </c>
      <c r="D134">
        <v>21964.80000000001</v>
      </c>
      <c r="F134">
        <v>6344</v>
      </c>
      <c r="G134">
        <v>330398.73901245469</v>
      </c>
    </row>
    <row r="135" spans="1:7" x14ac:dyDescent="0.35">
      <c r="A135" s="1" t="s">
        <v>133</v>
      </c>
      <c r="B135">
        <v>436800</v>
      </c>
      <c r="C135">
        <v>37960</v>
      </c>
      <c r="D135">
        <v>34944.000000000029</v>
      </c>
    </row>
    <row r="136" spans="1:7" x14ac:dyDescent="0.35">
      <c r="A136" s="1" t="s">
        <v>134</v>
      </c>
      <c r="C136">
        <v>1.4551915228366852E-11</v>
      </c>
      <c r="D136">
        <v>42952.000000000015</v>
      </c>
      <c r="E136">
        <v>19344.000000000004</v>
      </c>
      <c r="F136">
        <v>12688</v>
      </c>
      <c r="G136">
        <v>89606.86501474824</v>
      </c>
    </row>
    <row r="137" spans="1:7" x14ac:dyDescent="0.35">
      <c r="A137" s="1" t="s">
        <v>135</v>
      </c>
      <c r="B137">
        <v>444912</v>
      </c>
      <c r="D137">
        <v>75036.000000000029</v>
      </c>
      <c r="F137">
        <v>12688</v>
      </c>
      <c r="G137">
        <v>135849.59054052681</v>
      </c>
    </row>
    <row r="138" spans="1:7" x14ac:dyDescent="0.35">
      <c r="A138" s="1" t="s">
        <v>136</v>
      </c>
      <c r="B138">
        <v>124487.99999999994</v>
      </c>
      <c r="C138">
        <v>1.4551915228366852E-11</v>
      </c>
      <c r="D138">
        <v>41860.000000000044</v>
      </c>
      <c r="F138">
        <v>-3.637978807091713E-12</v>
      </c>
    </row>
    <row r="139" spans="1:7" x14ac:dyDescent="0.35">
      <c r="A139" s="1" t="s">
        <v>137</v>
      </c>
      <c r="C139">
        <v>50960</v>
      </c>
      <c r="D139">
        <v>21840.000000000007</v>
      </c>
      <c r="E139">
        <v>12896</v>
      </c>
      <c r="F139">
        <v>3806.4000000000005</v>
      </c>
      <c r="G139">
        <v>234079.81596924856</v>
      </c>
    </row>
    <row r="140" spans="1:7" x14ac:dyDescent="0.35">
      <c r="A140" s="1" t="s">
        <v>138</v>
      </c>
      <c r="D140">
        <v>38896.000000000015</v>
      </c>
    </row>
    <row r="141" spans="1:7" x14ac:dyDescent="0.35">
      <c r="A141" s="1" t="s">
        <v>139</v>
      </c>
      <c r="B141">
        <v>15724.800000000003</v>
      </c>
      <c r="C141">
        <v>17680</v>
      </c>
      <c r="D141">
        <v>33862.400000000001</v>
      </c>
      <c r="E141">
        <v>58032</v>
      </c>
      <c r="F141">
        <v>8881.5999999999985</v>
      </c>
    </row>
    <row r="142" spans="1:7" x14ac:dyDescent="0.35">
      <c r="A142" s="1" t="s">
        <v>140</v>
      </c>
      <c r="B142">
        <v>52852.799999999988</v>
      </c>
      <c r="C142">
        <v>40040.000000000015</v>
      </c>
      <c r="D142">
        <v>21112.000000000007</v>
      </c>
    </row>
    <row r="143" spans="1:7" x14ac:dyDescent="0.35">
      <c r="A143" s="1" t="s">
        <v>141</v>
      </c>
      <c r="B143">
        <v>151008</v>
      </c>
      <c r="C143">
        <v>39519.999999999985</v>
      </c>
      <c r="E143">
        <v>12896</v>
      </c>
      <c r="F143">
        <v>7612.8000000000011</v>
      </c>
      <c r="G143">
        <v>240986.64768193173</v>
      </c>
    </row>
    <row r="144" spans="1:7" x14ac:dyDescent="0.35">
      <c r="A144" s="1" t="s">
        <v>142</v>
      </c>
      <c r="B144">
        <v>27955.199999999983</v>
      </c>
      <c r="C144">
        <v>47319.999999999985</v>
      </c>
      <c r="D144">
        <v>24252.80000000001</v>
      </c>
      <c r="F144">
        <v>3806.4000000000005</v>
      </c>
      <c r="G144">
        <v>557599.47602182091</v>
      </c>
    </row>
    <row r="145" spans="1:7" x14ac:dyDescent="0.35">
      <c r="A145" s="1" t="s">
        <v>143</v>
      </c>
      <c r="B145">
        <v>273000.00000000023</v>
      </c>
      <c r="D145">
        <v>35152</v>
      </c>
      <c r="G145">
        <v>537392.46649256069</v>
      </c>
    </row>
    <row r="146" spans="1:7" x14ac:dyDescent="0.35">
      <c r="A146" s="1" t="s">
        <v>144</v>
      </c>
      <c r="C146">
        <v>7.2759576141834259E-12</v>
      </c>
      <c r="D146">
        <v>70980.000000000029</v>
      </c>
      <c r="E146">
        <v>6448</v>
      </c>
      <c r="G146">
        <v>47315.372844784521</v>
      </c>
    </row>
    <row r="147" spans="1:7" x14ac:dyDescent="0.35">
      <c r="A147" s="1" t="s">
        <v>145</v>
      </c>
      <c r="B147">
        <v>37440</v>
      </c>
      <c r="C147">
        <v>1.4551915228366852E-11</v>
      </c>
      <c r="D147">
        <v>42099.200000000019</v>
      </c>
      <c r="F147">
        <v>2537.6000000000004</v>
      </c>
    </row>
    <row r="148" spans="1:7" x14ac:dyDescent="0.35">
      <c r="A148" s="1" t="s">
        <v>146</v>
      </c>
      <c r="B148">
        <v>95921.279999999999</v>
      </c>
      <c r="C148">
        <v>37960</v>
      </c>
      <c r="D148">
        <v>70304</v>
      </c>
      <c r="E148">
        <v>19344.000000000004</v>
      </c>
      <c r="F148">
        <v>-3.637978807091713E-12</v>
      </c>
    </row>
    <row r="149" spans="1:7" x14ac:dyDescent="0.35">
      <c r="A149" s="1" t="s">
        <v>147</v>
      </c>
      <c r="B149">
        <v>676915.19999999995</v>
      </c>
      <c r="C149">
        <v>23400</v>
      </c>
      <c r="D149">
        <v>28392.000000000004</v>
      </c>
      <c r="E149">
        <v>32240</v>
      </c>
      <c r="G149">
        <v>136948.7365293444</v>
      </c>
    </row>
    <row r="150" spans="1:7" x14ac:dyDescent="0.35">
      <c r="A150" s="1" t="s">
        <v>148</v>
      </c>
      <c r="B150">
        <v>5.8207660913467407E-11</v>
      </c>
      <c r="C150">
        <v>1.4551915228366852E-11</v>
      </c>
      <c r="D150">
        <v>37065.600000000013</v>
      </c>
      <c r="F150">
        <v>3806.4000000000005</v>
      </c>
    </row>
    <row r="151" spans="1:7" x14ac:dyDescent="0.35">
      <c r="A151" s="1" t="s">
        <v>149</v>
      </c>
      <c r="B151">
        <v>361732.80000000005</v>
      </c>
      <c r="C151">
        <v>1.4551915228366852E-11</v>
      </c>
      <c r="F151">
        <v>7612.8000000000011</v>
      </c>
      <c r="G151">
        <v>287582.33748246566</v>
      </c>
    </row>
    <row r="152" spans="1:7" x14ac:dyDescent="0.35">
      <c r="A152" s="1" t="s">
        <v>150</v>
      </c>
      <c r="B152">
        <v>1043827.2</v>
      </c>
      <c r="C152">
        <v>23920.000000000007</v>
      </c>
      <c r="D152">
        <v>25116.000000000007</v>
      </c>
      <c r="E152">
        <v>58032</v>
      </c>
      <c r="F152">
        <v>10150.400000000001</v>
      </c>
    </row>
    <row r="153" spans="1:7" x14ac:dyDescent="0.35">
      <c r="A153" s="1" t="s">
        <v>151</v>
      </c>
      <c r="B153">
        <v>265574.40000000002</v>
      </c>
      <c r="D153">
        <v>58136.000000000022</v>
      </c>
      <c r="E153">
        <v>51584</v>
      </c>
      <c r="F153">
        <v>3806.4000000000005</v>
      </c>
    </row>
    <row r="154" spans="1:7" x14ac:dyDescent="0.35">
      <c r="A154" s="1" t="s">
        <v>152</v>
      </c>
      <c r="B154">
        <v>192192.00000000012</v>
      </c>
      <c r="D154">
        <v>40560</v>
      </c>
      <c r="E154">
        <v>38688.000000000007</v>
      </c>
      <c r="F154">
        <v>3806.4000000000005</v>
      </c>
    </row>
    <row r="155" spans="1:7" x14ac:dyDescent="0.35">
      <c r="A155" s="1" t="s">
        <v>153</v>
      </c>
      <c r="B155">
        <v>458640</v>
      </c>
      <c r="C155">
        <v>-1.4551915228366852E-11</v>
      </c>
      <c r="D155">
        <v>26572.000000000007</v>
      </c>
      <c r="E155">
        <v>38688.000000000007</v>
      </c>
      <c r="F155">
        <v>1268.8000000000002</v>
      </c>
    </row>
    <row r="156" spans="1:7" x14ac:dyDescent="0.35">
      <c r="A156" s="1" t="s">
        <v>154</v>
      </c>
      <c r="B156">
        <v>131414.39999999999</v>
      </c>
      <c r="C156">
        <v>39000</v>
      </c>
      <c r="D156">
        <v>41184.000000000015</v>
      </c>
      <c r="F156">
        <v>7612.8000000000011</v>
      </c>
    </row>
    <row r="157" spans="1:7" x14ac:dyDescent="0.35">
      <c r="A157" s="1" t="s">
        <v>155</v>
      </c>
      <c r="B157">
        <v>140400</v>
      </c>
      <c r="C157">
        <v>1.4551915228366852E-11</v>
      </c>
      <c r="D157">
        <v>21507.200000000001</v>
      </c>
      <c r="E157">
        <v>45136.000000000015</v>
      </c>
      <c r="G157">
        <v>436715.06264613877</v>
      </c>
    </row>
    <row r="158" spans="1:7" x14ac:dyDescent="0.35">
      <c r="A158" s="1" t="s">
        <v>156</v>
      </c>
      <c r="B158">
        <v>57657.600000000006</v>
      </c>
      <c r="C158">
        <v>48360</v>
      </c>
      <c r="E158">
        <v>25792</v>
      </c>
      <c r="F158">
        <v>12688</v>
      </c>
      <c r="G158">
        <v>275583.55133827799</v>
      </c>
    </row>
    <row r="159" spans="1:7" x14ac:dyDescent="0.35">
      <c r="A159" s="1" t="s">
        <v>157</v>
      </c>
      <c r="B159">
        <v>247104.00000000012</v>
      </c>
      <c r="C159">
        <v>46280.000000000015</v>
      </c>
      <c r="D159">
        <v>16380.000000000015</v>
      </c>
      <c r="F159">
        <v>1268.8000000000002</v>
      </c>
      <c r="G159">
        <v>169288.79338334795</v>
      </c>
    </row>
    <row r="160" spans="1:7" x14ac:dyDescent="0.35">
      <c r="A160" s="1" t="s">
        <v>158</v>
      </c>
      <c r="B160">
        <v>93288</v>
      </c>
      <c r="G160">
        <v>580373.89003178431</v>
      </c>
    </row>
    <row r="161" spans="1:7" x14ac:dyDescent="0.35">
      <c r="A161" s="1" t="s">
        <v>159</v>
      </c>
      <c r="B161">
        <v>232377.60000000003</v>
      </c>
      <c r="C161">
        <v>44719.999999999985</v>
      </c>
      <c r="D161">
        <v>59488.000000000007</v>
      </c>
      <c r="F161">
        <v>-3.637978807091713E-12</v>
      </c>
      <c r="G161">
        <v>378489.27975106717</v>
      </c>
    </row>
    <row r="162" spans="1:7" x14ac:dyDescent="0.35">
      <c r="A162" s="1" t="s">
        <v>160</v>
      </c>
      <c r="B162">
        <v>149760</v>
      </c>
      <c r="D162">
        <v>31304.000000000029</v>
      </c>
      <c r="G162">
        <v>123313.82516119623</v>
      </c>
    </row>
    <row r="163" spans="1:7" x14ac:dyDescent="0.35">
      <c r="A163" s="1" t="s">
        <v>161</v>
      </c>
      <c r="B163">
        <v>15724.799999999988</v>
      </c>
      <c r="D163">
        <v>75036.000000000029</v>
      </c>
    </row>
    <row r="164" spans="1:7" x14ac:dyDescent="0.35">
      <c r="A164" s="1" t="s">
        <v>162</v>
      </c>
      <c r="B164">
        <v>348566.39999999991</v>
      </c>
      <c r="D164">
        <v>38896.000000000015</v>
      </c>
      <c r="E164">
        <v>32240</v>
      </c>
    </row>
    <row r="165" spans="1:7" x14ac:dyDescent="0.35">
      <c r="A165" s="1" t="s">
        <v>163</v>
      </c>
      <c r="C165">
        <v>32760</v>
      </c>
      <c r="E165">
        <v>19344.000000000004</v>
      </c>
      <c r="F165">
        <v>-3.637978807091713E-12</v>
      </c>
    </row>
    <row r="166" spans="1:7" x14ac:dyDescent="0.35">
      <c r="A166" s="1" t="s">
        <v>164</v>
      </c>
      <c r="B166">
        <v>134784</v>
      </c>
      <c r="D166">
        <v>32489.600000000006</v>
      </c>
      <c r="E166">
        <v>19344.000000000004</v>
      </c>
      <c r="G166">
        <v>224691.28150830988</v>
      </c>
    </row>
    <row r="167" spans="1:7" x14ac:dyDescent="0.35">
      <c r="A167" s="1" t="s">
        <v>165</v>
      </c>
      <c r="B167">
        <v>234299.51999999993</v>
      </c>
      <c r="E167">
        <v>6448</v>
      </c>
    </row>
    <row r="168" spans="1:7" x14ac:dyDescent="0.35">
      <c r="A168" s="1" t="s">
        <v>166</v>
      </c>
      <c r="B168">
        <v>177340.8000000001</v>
      </c>
      <c r="C168">
        <v>22880</v>
      </c>
      <c r="D168">
        <v>54080.000000000007</v>
      </c>
      <c r="E168">
        <v>51584</v>
      </c>
      <c r="F168">
        <v>1268.8000000000002</v>
      </c>
    </row>
    <row r="169" spans="1:7" x14ac:dyDescent="0.35">
      <c r="A169" s="1" t="s">
        <v>167</v>
      </c>
      <c r="B169">
        <v>850636.80000000005</v>
      </c>
      <c r="C169">
        <v>18720.000000000007</v>
      </c>
      <c r="D169">
        <v>80444</v>
      </c>
      <c r="E169">
        <v>58032</v>
      </c>
      <c r="F169">
        <v>7612.8000000000011</v>
      </c>
    </row>
    <row r="170" spans="1:7" x14ac:dyDescent="0.35">
      <c r="A170" s="1" t="s">
        <v>168</v>
      </c>
      <c r="B170">
        <v>1.1641532182693481E-10</v>
      </c>
      <c r="C170">
        <v>34840.000000000015</v>
      </c>
      <c r="E170">
        <v>84240</v>
      </c>
      <c r="F170">
        <v>7612.8000000000011</v>
      </c>
      <c r="G170">
        <v>246416.38420912134</v>
      </c>
    </row>
    <row r="171" spans="1:7" x14ac:dyDescent="0.35">
      <c r="A171" s="1" t="s">
        <v>169</v>
      </c>
      <c r="B171">
        <v>434304.00000000012</v>
      </c>
      <c r="C171">
        <v>30680</v>
      </c>
      <c r="D171">
        <v>47590.400000000009</v>
      </c>
      <c r="E171">
        <v>65520</v>
      </c>
      <c r="G171">
        <v>138428.68621811591</v>
      </c>
    </row>
    <row r="172" spans="1:7" x14ac:dyDescent="0.35">
      <c r="A172" s="1" t="s">
        <v>170</v>
      </c>
      <c r="B172">
        <v>82680</v>
      </c>
      <c r="C172">
        <v>19240.000000000007</v>
      </c>
      <c r="D172">
        <v>68276.000000000029</v>
      </c>
      <c r="E172">
        <v>6448</v>
      </c>
      <c r="F172">
        <v>-3.637978807091713E-12</v>
      </c>
      <c r="G172">
        <v>645716.64530246321</v>
      </c>
    </row>
    <row r="173" spans="1:7" x14ac:dyDescent="0.35">
      <c r="A173" s="1" t="s">
        <v>171</v>
      </c>
      <c r="B173">
        <v>317116.8000000001</v>
      </c>
      <c r="C173">
        <v>34319.999999999985</v>
      </c>
      <c r="D173">
        <v>33852</v>
      </c>
      <c r="E173">
        <v>19344.000000000004</v>
      </c>
      <c r="F173">
        <v>2537.6000000000004</v>
      </c>
    </row>
    <row r="174" spans="1:7" x14ac:dyDescent="0.35">
      <c r="A174" s="1" t="s">
        <v>172</v>
      </c>
      <c r="B174">
        <v>252295.68000000008</v>
      </c>
      <c r="C174">
        <v>7.2759576141834259E-12</v>
      </c>
      <c r="D174">
        <v>79092.000000000015</v>
      </c>
      <c r="E174">
        <v>19344.000000000004</v>
      </c>
    </row>
    <row r="175" spans="1:7" x14ac:dyDescent="0.35">
      <c r="A175" s="1" t="s">
        <v>173</v>
      </c>
      <c r="B175">
        <v>65520</v>
      </c>
      <c r="C175">
        <v>1.4551915228366852E-11</v>
      </c>
      <c r="D175">
        <v>25116.000000000007</v>
      </c>
      <c r="F175">
        <v>2537.6000000000004</v>
      </c>
      <c r="G175">
        <v>356134.52125256904</v>
      </c>
    </row>
    <row r="176" spans="1:7" x14ac:dyDescent="0.35">
      <c r="A176" s="1" t="s">
        <v>174</v>
      </c>
      <c r="C176">
        <v>33800</v>
      </c>
      <c r="D176">
        <v>17836.000000000007</v>
      </c>
      <c r="F176">
        <v>-3.637978807091713E-12</v>
      </c>
      <c r="G176">
        <v>384957.28461732308</v>
      </c>
    </row>
    <row r="177" spans="1:7" x14ac:dyDescent="0.35">
      <c r="A177" s="1" t="s">
        <v>175</v>
      </c>
      <c r="B177">
        <v>393120.00000000023</v>
      </c>
      <c r="C177">
        <v>30160</v>
      </c>
      <c r="D177">
        <v>41132.000000000015</v>
      </c>
      <c r="F177">
        <v>7612.8000000000011</v>
      </c>
      <c r="G177">
        <v>132361.46330434602</v>
      </c>
    </row>
    <row r="178" spans="1:7" x14ac:dyDescent="0.35">
      <c r="A178" s="1" t="s">
        <v>176</v>
      </c>
      <c r="B178">
        <v>262080</v>
      </c>
      <c r="E178">
        <v>25792</v>
      </c>
      <c r="G178">
        <v>459993.47592124162</v>
      </c>
    </row>
    <row r="179" spans="1:7" x14ac:dyDescent="0.35">
      <c r="A179" s="1" t="s">
        <v>177</v>
      </c>
      <c r="B179">
        <v>251596.80000000005</v>
      </c>
      <c r="C179">
        <v>50960</v>
      </c>
      <c r="D179">
        <v>22568.000000000007</v>
      </c>
      <c r="E179">
        <v>51584</v>
      </c>
      <c r="G179">
        <v>67853.492001033475</v>
      </c>
    </row>
    <row r="180" spans="1:7" x14ac:dyDescent="0.35">
      <c r="A180" s="1" t="s">
        <v>178</v>
      </c>
      <c r="B180">
        <v>209664</v>
      </c>
      <c r="C180">
        <v>1.4551915228366852E-11</v>
      </c>
      <c r="E180">
        <v>58032</v>
      </c>
      <c r="G180">
        <v>323246.35722300143</v>
      </c>
    </row>
    <row r="181" spans="1:7" x14ac:dyDescent="0.35">
      <c r="A181" s="1" t="s">
        <v>179</v>
      </c>
      <c r="B181">
        <v>205920</v>
      </c>
      <c r="C181">
        <v>45760</v>
      </c>
      <c r="D181">
        <v>18761.600000000009</v>
      </c>
      <c r="F181">
        <v>1268.8000000000002</v>
      </c>
      <c r="G181">
        <v>308016.69320219627</v>
      </c>
    </row>
    <row r="182" spans="1:7" x14ac:dyDescent="0.35">
      <c r="A182" s="1" t="s">
        <v>180</v>
      </c>
      <c r="B182">
        <v>53040</v>
      </c>
      <c r="C182">
        <v>19240</v>
      </c>
      <c r="D182">
        <v>43929.60000000002</v>
      </c>
      <c r="E182">
        <v>12896</v>
      </c>
      <c r="G182">
        <v>380110.87037706282</v>
      </c>
    </row>
    <row r="183" spans="1:7" x14ac:dyDescent="0.35">
      <c r="A183" s="1" t="s">
        <v>181</v>
      </c>
      <c r="B183">
        <v>464256.00000000006</v>
      </c>
      <c r="C183">
        <v>-1.4551915228366852E-11</v>
      </c>
      <c r="D183">
        <v>46217.60000000002</v>
      </c>
      <c r="E183">
        <v>38688.000000000007</v>
      </c>
      <c r="F183">
        <v>2537.6000000000004</v>
      </c>
    </row>
    <row r="184" spans="1:7" x14ac:dyDescent="0.35">
      <c r="A184" s="1" t="s">
        <v>182</v>
      </c>
      <c r="B184">
        <v>487468.79999999987</v>
      </c>
      <c r="C184">
        <v>15600</v>
      </c>
      <c r="D184">
        <v>68952.000000000029</v>
      </c>
      <c r="E184">
        <v>12896</v>
      </c>
      <c r="G184">
        <v>114176.88488978817</v>
      </c>
    </row>
    <row r="185" spans="1:7" x14ac:dyDescent="0.35">
      <c r="A185" s="1" t="s">
        <v>183</v>
      </c>
      <c r="B185">
        <v>489216</v>
      </c>
      <c r="C185">
        <v>-1.4551915228366852E-11</v>
      </c>
      <c r="D185">
        <v>39353.600000000013</v>
      </c>
      <c r="F185">
        <v>11419.199999999993</v>
      </c>
    </row>
    <row r="186" spans="1:7" x14ac:dyDescent="0.35">
      <c r="A186" s="1" t="s">
        <v>184</v>
      </c>
      <c r="C186">
        <v>1.4551915228366852E-11</v>
      </c>
      <c r="D186">
        <v>1.4551915228366852E-11</v>
      </c>
      <c r="E186">
        <v>38688.000000000007</v>
      </c>
    </row>
    <row r="187" spans="1:7" x14ac:dyDescent="0.35">
      <c r="A187" s="1" t="s">
        <v>185</v>
      </c>
      <c r="B187">
        <v>53040</v>
      </c>
      <c r="E187">
        <v>58032</v>
      </c>
      <c r="F187">
        <v>10150.400000000001</v>
      </c>
    </row>
    <row r="188" spans="1:7" x14ac:dyDescent="0.35">
      <c r="A188" s="1" t="s">
        <v>186</v>
      </c>
      <c r="B188">
        <v>222593.28000000003</v>
      </c>
      <c r="C188">
        <v>39519.999999999985</v>
      </c>
      <c r="D188">
        <v>51376.000000000022</v>
      </c>
      <c r="F188">
        <v>8881.5999999999985</v>
      </c>
      <c r="G188">
        <v>165099.25399342773</v>
      </c>
    </row>
    <row r="189" spans="1:7" x14ac:dyDescent="0.35">
      <c r="A189" s="1" t="s">
        <v>187</v>
      </c>
      <c r="B189">
        <v>158995.19999999998</v>
      </c>
      <c r="C189">
        <v>52000</v>
      </c>
      <c r="D189">
        <v>35828.000000000015</v>
      </c>
      <c r="E189">
        <v>38688.000000000007</v>
      </c>
      <c r="F189">
        <v>2537.6000000000004</v>
      </c>
      <c r="G189">
        <v>287199.29047006206</v>
      </c>
    </row>
    <row r="190" spans="1:7" x14ac:dyDescent="0.35">
      <c r="A190" s="1" t="s">
        <v>188</v>
      </c>
      <c r="B190">
        <v>21403.199999999997</v>
      </c>
      <c r="C190">
        <v>-1.4551915228366852E-11</v>
      </c>
      <c r="D190">
        <v>33488.000000000015</v>
      </c>
      <c r="E190">
        <v>58032</v>
      </c>
      <c r="G190">
        <v>127683.48250452205</v>
      </c>
    </row>
    <row r="191" spans="1:7" x14ac:dyDescent="0.35">
      <c r="A191" s="1" t="s">
        <v>189</v>
      </c>
      <c r="B191">
        <v>937747.20000000007</v>
      </c>
      <c r="C191">
        <v>-1.4551915228366852E-11</v>
      </c>
      <c r="D191">
        <v>45760.000000000015</v>
      </c>
      <c r="F191">
        <v>6344</v>
      </c>
      <c r="G191">
        <v>451855.18751763942</v>
      </c>
    </row>
    <row r="192" spans="1:7" x14ac:dyDescent="0.35">
      <c r="A192" s="1" t="s">
        <v>190</v>
      </c>
      <c r="C192">
        <v>17159.999999999993</v>
      </c>
      <c r="D192">
        <v>64896.000000000029</v>
      </c>
      <c r="E192">
        <v>45136.000000000015</v>
      </c>
      <c r="F192">
        <v>-3.637978807091713E-12</v>
      </c>
    </row>
    <row r="193" spans="1:7" x14ac:dyDescent="0.35">
      <c r="A193" s="1" t="s">
        <v>191</v>
      </c>
      <c r="B193">
        <v>139164.47999999998</v>
      </c>
      <c r="C193">
        <v>47840.000000000029</v>
      </c>
      <c r="D193">
        <v>19656.000000000007</v>
      </c>
      <c r="F193">
        <v>10150.400000000001</v>
      </c>
      <c r="G193">
        <v>140214.29588178982</v>
      </c>
    </row>
    <row r="194" spans="1:7" x14ac:dyDescent="0.35">
      <c r="A194" s="1" t="s">
        <v>192</v>
      </c>
      <c r="B194">
        <v>289536</v>
      </c>
      <c r="C194">
        <v>1.4551915228366852E-11</v>
      </c>
      <c r="D194">
        <v>29744</v>
      </c>
      <c r="E194">
        <v>84240</v>
      </c>
      <c r="G194">
        <v>357482.89651586406</v>
      </c>
    </row>
    <row r="195" spans="1:7" x14ac:dyDescent="0.35">
      <c r="A195" s="1" t="s">
        <v>193</v>
      </c>
      <c r="B195">
        <v>36504</v>
      </c>
      <c r="D195">
        <v>43316.000000000015</v>
      </c>
      <c r="E195">
        <v>12896</v>
      </c>
      <c r="F195">
        <v>-3.637978807091713E-12</v>
      </c>
      <c r="G195">
        <v>171892.11188223574</v>
      </c>
    </row>
    <row r="196" spans="1:7" x14ac:dyDescent="0.35">
      <c r="A196" s="1" t="s">
        <v>194</v>
      </c>
      <c r="B196">
        <v>460125.12000000017</v>
      </c>
      <c r="C196">
        <v>50960</v>
      </c>
      <c r="D196">
        <v>51708.800000000003</v>
      </c>
      <c r="E196">
        <v>12896</v>
      </c>
      <c r="G196">
        <v>138941.00039850926</v>
      </c>
    </row>
    <row r="197" spans="1:7" x14ac:dyDescent="0.35">
      <c r="A197" s="1" t="s">
        <v>195</v>
      </c>
      <c r="D197">
        <v>27716.000000000004</v>
      </c>
      <c r="E197">
        <v>45136.000000000015</v>
      </c>
      <c r="F197">
        <v>2537.6000000000004</v>
      </c>
      <c r="G197">
        <v>84454.116269656632</v>
      </c>
    </row>
    <row r="198" spans="1:7" x14ac:dyDescent="0.35">
      <c r="A198" s="1" t="s">
        <v>196</v>
      </c>
      <c r="B198">
        <v>74880</v>
      </c>
      <c r="C198">
        <v>7.2759576141834259E-12</v>
      </c>
      <c r="F198">
        <v>-3.637978807091713E-12</v>
      </c>
      <c r="G198">
        <v>70137.350226611889</v>
      </c>
    </row>
    <row r="199" spans="1:7" x14ac:dyDescent="0.35">
      <c r="A199" s="1" t="s">
        <v>197</v>
      </c>
      <c r="B199">
        <v>27456</v>
      </c>
      <c r="C199">
        <v>1.4551915228366852E-11</v>
      </c>
      <c r="D199">
        <v>1.4551915228366852E-11</v>
      </c>
      <c r="E199">
        <v>58032</v>
      </c>
      <c r="F199">
        <v>11419.199999999993</v>
      </c>
      <c r="G199">
        <v>435008.32979592751</v>
      </c>
    </row>
    <row r="200" spans="1:7" x14ac:dyDescent="0.35">
      <c r="A200" s="1" t="s">
        <v>198</v>
      </c>
      <c r="B200">
        <v>116812.80000000003</v>
      </c>
      <c r="C200">
        <v>42119.999999999985</v>
      </c>
      <c r="D200">
        <v>75712.000000000029</v>
      </c>
      <c r="G200">
        <v>260236.56396428973</v>
      </c>
    </row>
    <row r="201" spans="1:7" x14ac:dyDescent="0.35">
      <c r="A201" s="1" t="s">
        <v>199</v>
      </c>
      <c r="B201">
        <v>31449.600000000006</v>
      </c>
      <c r="C201">
        <v>27040</v>
      </c>
      <c r="D201">
        <v>36150.400000000001</v>
      </c>
      <c r="F201">
        <v>1268.8000000000002</v>
      </c>
      <c r="G201">
        <v>186014.27601501433</v>
      </c>
    </row>
    <row r="202" spans="1:7" x14ac:dyDescent="0.35">
      <c r="A202" s="1" t="s">
        <v>200</v>
      </c>
      <c r="B202">
        <v>24024</v>
      </c>
      <c r="C202">
        <v>43160</v>
      </c>
      <c r="D202">
        <v>39353.600000000013</v>
      </c>
      <c r="F202">
        <v>-3.637978807091713E-12</v>
      </c>
      <c r="G202">
        <v>410332.43894159503</v>
      </c>
    </row>
    <row r="203" spans="1:7" x14ac:dyDescent="0.35">
      <c r="A203" s="1" t="s">
        <v>201</v>
      </c>
      <c r="B203">
        <v>90480</v>
      </c>
      <c r="D203">
        <v>41912</v>
      </c>
      <c r="G203">
        <v>267793.75142907503</v>
      </c>
    </row>
    <row r="204" spans="1:7" x14ac:dyDescent="0.35">
      <c r="A204" s="1" t="s">
        <v>202</v>
      </c>
      <c r="B204">
        <v>26520</v>
      </c>
      <c r="D204">
        <v>26998.400000000001</v>
      </c>
      <c r="E204">
        <v>6448</v>
      </c>
      <c r="F204">
        <v>8881.5999999999985</v>
      </c>
    </row>
    <row r="205" spans="1:7" x14ac:dyDescent="0.35">
      <c r="A205" s="1" t="s">
        <v>203</v>
      </c>
      <c r="B205">
        <v>742560</v>
      </c>
      <c r="D205">
        <v>45760.000000000015</v>
      </c>
      <c r="E205">
        <v>74880</v>
      </c>
      <c r="F205">
        <v>5075.2000000000007</v>
      </c>
      <c r="G205">
        <v>684821.45616810815</v>
      </c>
    </row>
    <row r="206" spans="1:7" x14ac:dyDescent="0.35">
      <c r="A206" s="1" t="s">
        <v>204</v>
      </c>
      <c r="B206">
        <v>441292.80000000005</v>
      </c>
      <c r="C206">
        <v>28600</v>
      </c>
      <c r="D206">
        <v>34476.000000000015</v>
      </c>
      <c r="F206">
        <v>12688</v>
      </c>
      <c r="G206">
        <v>260065.51064194489</v>
      </c>
    </row>
    <row r="207" spans="1:7" x14ac:dyDescent="0.35">
      <c r="A207" s="1" t="s">
        <v>205</v>
      </c>
      <c r="B207">
        <v>338520.00000000023</v>
      </c>
      <c r="C207">
        <v>52000</v>
      </c>
      <c r="D207">
        <v>17108</v>
      </c>
      <c r="E207">
        <v>12896</v>
      </c>
    </row>
    <row r="208" spans="1:7" x14ac:dyDescent="0.35">
      <c r="A208" s="1" t="s">
        <v>206</v>
      </c>
      <c r="B208">
        <v>192890.88</v>
      </c>
      <c r="C208">
        <v>44200</v>
      </c>
      <c r="D208">
        <v>41184.000000000015</v>
      </c>
      <c r="E208">
        <v>58032</v>
      </c>
      <c r="F208">
        <v>-3.637978807091713E-12</v>
      </c>
      <c r="G208">
        <v>381734.20507285197</v>
      </c>
    </row>
    <row r="209" spans="1:7" x14ac:dyDescent="0.35">
      <c r="A209" s="1" t="s">
        <v>207</v>
      </c>
      <c r="B209">
        <v>542880.00000000012</v>
      </c>
      <c r="C209">
        <v>28600</v>
      </c>
      <c r="D209">
        <v>28828.800000000003</v>
      </c>
      <c r="E209">
        <v>25792</v>
      </c>
    </row>
    <row r="210" spans="1:7" x14ac:dyDescent="0.35">
      <c r="A210" s="1" t="s">
        <v>208</v>
      </c>
      <c r="B210">
        <v>243984.00000000006</v>
      </c>
      <c r="C210">
        <v>21320.000000000007</v>
      </c>
      <c r="D210">
        <v>1.4551915228366852E-11</v>
      </c>
      <c r="E210">
        <v>38688.000000000007</v>
      </c>
      <c r="F210">
        <v>7612.8000000000011</v>
      </c>
    </row>
    <row r="211" spans="1:7" x14ac:dyDescent="0.35">
      <c r="A211" s="1" t="s">
        <v>209</v>
      </c>
      <c r="B211">
        <v>51667.200000000004</v>
      </c>
      <c r="C211">
        <v>32760</v>
      </c>
      <c r="D211">
        <v>54756.000000000022</v>
      </c>
      <c r="E211">
        <v>12896</v>
      </c>
      <c r="F211">
        <v>8881.5999999999985</v>
      </c>
      <c r="G211">
        <v>102478.53914083733</v>
      </c>
    </row>
    <row r="212" spans="1:7" x14ac:dyDescent="0.35">
      <c r="A212" s="1" t="s">
        <v>210</v>
      </c>
      <c r="B212">
        <v>231067.20000000019</v>
      </c>
      <c r="C212">
        <v>21320.000000000007</v>
      </c>
      <c r="D212">
        <v>63544.000000000007</v>
      </c>
      <c r="F212">
        <v>7612.8000000000011</v>
      </c>
      <c r="G212">
        <v>152623.64126407777</v>
      </c>
    </row>
    <row r="213" spans="1:7" x14ac:dyDescent="0.35">
      <c r="A213" s="1" t="s">
        <v>211</v>
      </c>
      <c r="B213">
        <v>210600</v>
      </c>
      <c r="C213">
        <v>42640.000000000015</v>
      </c>
      <c r="D213">
        <v>1.4551915228366852E-11</v>
      </c>
      <c r="F213">
        <v>-3.637978807091713E-12</v>
      </c>
      <c r="G213">
        <v>104257.9218703958</v>
      </c>
    </row>
    <row r="214" spans="1:7" x14ac:dyDescent="0.35">
      <c r="A214" s="1" t="s">
        <v>212</v>
      </c>
      <c r="B214">
        <v>93911.999999999971</v>
      </c>
      <c r="C214">
        <v>1.4551915228366852E-11</v>
      </c>
      <c r="D214">
        <v>36400.000000000029</v>
      </c>
      <c r="F214">
        <v>8881.5999999999985</v>
      </c>
      <c r="G214">
        <v>-5.8207660913467407E-11</v>
      </c>
    </row>
    <row r="215" spans="1:7" x14ac:dyDescent="0.35">
      <c r="A215" s="1" t="s">
        <v>213</v>
      </c>
      <c r="B215">
        <v>591364.80000000005</v>
      </c>
      <c r="C215">
        <v>46800</v>
      </c>
      <c r="D215">
        <v>54454.399999999994</v>
      </c>
      <c r="E215">
        <v>45136.000000000015</v>
      </c>
      <c r="F215">
        <v>-3.637978807091713E-12</v>
      </c>
    </row>
    <row r="216" spans="1:7" x14ac:dyDescent="0.35">
      <c r="A216" s="1" t="s">
        <v>214</v>
      </c>
      <c r="B216">
        <v>94348.800000000003</v>
      </c>
      <c r="D216">
        <v>48048.000000000015</v>
      </c>
      <c r="F216">
        <v>12688</v>
      </c>
    </row>
    <row r="217" spans="1:7" x14ac:dyDescent="0.35">
      <c r="A217" s="1" t="s">
        <v>215</v>
      </c>
      <c r="B217">
        <v>502320.00000000012</v>
      </c>
      <c r="C217">
        <v>1.4551915228366852E-11</v>
      </c>
      <c r="D217">
        <v>27300.000000000007</v>
      </c>
      <c r="F217">
        <v>10150.400000000001</v>
      </c>
      <c r="G217">
        <v>196515.32288871531</v>
      </c>
    </row>
    <row r="218" spans="1:7" x14ac:dyDescent="0.35">
      <c r="A218" s="1" t="s">
        <v>216</v>
      </c>
      <c r="B218">
        <v>404352.00000000006</v>
      </c>
      <c r="C218">
        <v>20800</v>
      </c>
      <c r="D218">
        <v>1.4551915228366852E-11</v>
      </c>
      <c r="F218">
        <v>-3.637978807091713E-12</v>
      </c>
      <c r="G218">
        <v>437637.28656365606</v>
      </c>
    </row>
    <row r="219" spans="1:7" x14ac:dyDescent="0.35">
      <c r="A219" s="1" t="s">
        <v>217</v>
      </c>
      <c r="B219">
        <v>491400</v>
      </c>
      <c r="D219">
        <v>28392.000000000004</v>
      </c>
      <c r="E219">
        <v>58032</v>
      </c>
    </row>
    <row r="220" spans="1:7" x14ac:dyDescent="0.35">
      <c r="A220" s="1" t="s">
        <v>218</v>
      </c>
      <c r="B220">
        <v>454271.99999999994</v>
      </c>
      <c r="D220">
        <v>39811.200000000019</v>
      </c>
      <c r="F220">
        <v>3806.4000000000005</v>
      </c>
      <c r="G220">
        <v>552645.66589275119</v>
      </c>
    </row>
    <row r="221" spans="1:7" x14ac:dyDescent="0.35">
      <c r="A221" s="1" t="s">
        <v>219</v>
      </c>
      <c r="B221">
        <v>418279.68000000023</v>
      </c>
      <c r="C221">
        <v>-1.4551915228366852E-11</v>
      </c>
      <c r="D221">
        <v>37492.000000000015</v>
      </c>
      <c r="E221">
        <v>51584</v>
      </c>
      <c r="G221">
        <v>120222.41687190608</v>
      </c>
    </row>
    <row r="222" spans="1:7" x14ac:dyDescent="0.35">
      <c r="A222" s="1" t="s">
        <v>220</v>
      </c>
      <c r="B222">
        <v>87360</v>
      </c>
      <c r="C222">
        <v>37960</v>
      </c>
      <c r="F222">
        <v>-3.637978807091713E-12</v>
      </c>
    </row>
    <row r="223" spans="1:7" x14ac:dyDescent="0.35">
      <c r="A223" s="1" t="s">
        <v>221</v>
      </c>
      <c r="B223">
        <v>341577.60000000015</v>
      </c>
      <c r="C223">
        <v>-1.4551915228366852E-11</v>
      </c>
      <c r="D223">
        <v>37492.000000000015</v>
      </c>
      <c r="F223">
        <v>3806.4000000000005</v>
      </c>
    </row>
    <row r="224" spans="1:7" x14ac:dyDescent="0.35">
      <c r="A224" s="1" t="s">
        <v>222</v>
      </c>
      <c r="B224">
        <v>140400</v>
      </c>
      <c r="C224">
        <v>16120.000000000007</v>
      </c>
      <c r="D224">
        <v>30201.600000000006</v>
      </c>
      <c r="F224">
        <v>1268.8000000000002</v>
      </c>
      <c r="G224">
        <v>108330.15531472268</v>
      </c>
    </row>
    <row r="225" spans="1:7" x14ac:dyDescent="0.35">
      <c r="A225" s="1" t="s">
        <v>223</v>
      </c>
      <c r="B225">
        <v>123551.99999999997</v>
      </c>
      <c r="C225">
        <v>-2.9103830456733704E-11</v>
      </c>
      <c r="D225">
        <v>35308.000000000029</v>
      </c>
    </row>
    <row r="226" spans="1:7" x14ac:dyDescent="0.35">
      <c r="A226" s="1" t="s">
        <v>224</v>
      </c>
      <c r="C226">
        <v>41600</v>
      </c>
      <c r="D226">
        <v>47590.400000000009</v>
      </c>
      <c r="F226">
        <v>1268.8000000000002</v>
      </c>
    </row>
    <row r="227" spans="1:7" x14ac:dyDescent="0.35">
      <c r="A227" s="1" t="s">
        <v>225</v>
      </c>
      <c r="B227">
        <v>192192</v>
      </c>
      <c r="C227">
        <v>42119.999999999985</v>
      </c>
      <c r="D227">
        <v>21476.000000000007</v>
      </c>
    </row>
    <row r="228" spans="1:7" x14ac:dyDescent="0.35">
      <c r="A228" s="1" t="s">
        <v>226</v>
      </c>
      <c r="B228">
        <v>351624.00000000012</v>
      </c>
      <c r="C228">
        <v>41080.000000000015</v>
      </c>
      <c r="D228">
        <v>43014.400000000001</v>
      </c>
      <c r="E228">
        <v>6448</v>
      </c>
      <c r="F228">
        <v>2537.6000000000004</v>
      </c>
      <c r="G228">
        <v>320491.37985853344</v>
      </c>
    </row>
    <row r="229" spans="1:7" x14ac:dyDescent="0.35">
      <c r="A229" s="1" t="s">
        <v>227</v>
      </c>
      <c r="B229">
        <v>248040</v>
      </c>
      <c r="C229">
        <v>27040</v>
      </c>
      <c r="D229">
        <v>16016.000000000007</v>
      </c>
      <c r="E229">
        <v>38688.000000000007</v>
      </c>
    </row>
    <row r="230" spans="1:7" x14ac:dyDescent="0.35">
      <c r="A230" s="1" t="s">
        <v>228</v>
      </c>
      <c r="C230">
        <v>-7.2759576141834259E-12</v>
      </c>
      <c r="F230">
        <v>7612.8000000000011</v>
      </c>
    </row>
    <row r="231" spans="1:7" x14ac:dyDescent="0.35">
      <c r="A231" s="1" t="s">
        <v>229</v>
      </c>
      <c r="B231">
        <v>336336</v>
      </c>
      <c r="D231">
        <v>25844.000000000007</v>
      </c>
      <c r="F231">
        <v>12688</v>
      </c>
      <c r="G231">
        <v>202543.85363990243</v>
      </c>
    </row>
    <row r="232" spans="1:7" x14ac:dyDescent="0.35">
      <c r="A232" s="1" t="s">
        <v>230</v>
      </c>
      <c r="B232">
        <v>111820.79999999999</v>
      </c>
      <c r="D232">
        <v>75036.000000000029</v>
      </c>
      <c r="E232">
        <v>45136.000000000015</v>
      </c>
      <c r="F232">
        <v>-3.637978807091713E-12</v>
      </c>
    </row>
    <row r="233" spans="1:7" x14ac:dyDescent="0.35">
      <c r="A233" s="1" t="s">
        <v>231</v>
      </c>
      <c r="B233">
        <v>177652.8</v>
      </c>
      <c r="C233">
        <v>27560</v>
      </c>
      <c r="E233">
        <v>38688.000000000007</v>
      </c>
    </row>
    <row r="234" spans="1:7" x14ac:dyDescent="0.35">
      <c r="A234" s="1" t="s">
        <v>232</v>
      </c>
      <c r="B234">
        <v>349440.00000000006</v>
      </c>
      <c r="D234">
        <v>15288.000000000007</v>
      </c>
      <c r="E234">
        <v>12896</v>
      </c>
    </row>
    <row r="235" spans="1:7" x14ac:dyDescent="0.35">
      <c r="A235" s="1" t="s">
        <v>233</v>
      </c>
      <c r="B235">
        <v>550368.00000000012</v>
      </c>
      <c r="D235">
        <v>38896.000000000015</v>
      </c>
      <c r="E235">
        <v>51584</v>
      </c>
      <c r="F235">
        <v>-3.637978807091713E-12</v>
      </c>
    </row>
    <row r="236" spans="1:7" x14ac:dyDescent="0.35">
      <c r="A236" s="1" t="s">
        <v>234</v>
      </c>
      <c r="B236">
        <v>41932.800000000003</v>
      </c>
      <c r="C236">
        <v>36919.999999999985</v>
      </c>
      <c r="E236">
        <v>6448</v>
      </c>
    </row>
    <row r="237" spans="1:7" x14ac:dyDescent="0.35">
      <c r="A237" s="1" t="s">
        <v>235</v>
      </c>
      <c r="B237">
        <v>1065043.2</v>
      </c>
      <c r="C237">
        <v>18720.000000000007</v>
      </c>
      <c r="D237">
        <v>26083.199999999997</v>
      </c>
      <c r="E237">
        <v>12896</v>
      </c>
    </row>
    <row r="238" spans="1:7" x14ac:dyDescent="0.35">
      <c r="A238" s="1" t="s">
        <v>236</v>
      </c>
      <c r="B238">
        <v>541632</v>
      </c>
      <c r="D238">
        <v>24388.000000000007</v>
      </c>
    </row>
    <row r="239" spans="1:7" x14ac:dyDescent="0.35">
      <c r="A239" s="1" t="s">
        <v>237</v>
      </c>
      <c r="B239">
        <v>100464.00000000001</v>
      </c>
      <c r="D239">
        <v>22880.000000000007</v>
      </c>
      <c r="E239">
        <v>51584</v>
      </c>
      <c r="F239">
        <v>12688</v>
      </c>
    </row>
    <row r="240" spans="1:7" x14ac:dyDescent="0.35">
      <c r="A240" s="1" t="s">
        <v>238</v>
      </c>
      <c r="B240">
        <v>27955.200000000012</v>
      </c>
      <c r="D240">
        <v>35308.000000000029</v>
      </c>
      <c r="F240">
        <v>1268.8000000000002</v>
      </c>
    </row>
    <row r="241" spans="1:7" x14ac:dyDescent="0.35">
      <c r="A241" s="1" t="s">
        <v>239</v>
      </c>
      <c r="B241">
        <v>100464</v>
      </c>
      <c r="C241">
        <v>48360</v>
      </c>
      <c r="D241">
        <v>44844.800000000003</v>
      </c>
      <c r="E241">
        <v>12896</v>
      </c>
      <c r="F241">
        <v>8881.5999999999985</v>
      </c>
      <c r="G241">
        <v>286344.3302187355</v>
      </c>
    </row>
    <row r="242" spans="1:7" x14ac:dyDescent="0.35">
      <c r="A242" s="1" t="s">
        <v>240</v>
      </c>
      <c r="B242">
        <v>126796.80000000003</v>
      </c>
      <c r="C242">
        <v>29120</v>
      </c>
      <c r="D242">
        <v>1.4551915228366852E-11</v>
      </c>
      <c r="E242">
        <v>12896</v>
      </c>
    </row>
    <row r="243" spans="1:7" x14ac:dyDescent="0.35">
      <c r="A243" s="1" t="s">
        <v>241</v>
      </c>
      <c r="B243">
        <v>2.9103830456733704E-11</v>
      </c>
      <c r="C243">
        <v>25480</v>
      </c>
      <c r="D243">
        <v>26208.000000000022</v>
      </c>
      <c r="F243">
        <v>8881.5999999999985</v>
      </c>
    </row>
    <row r="244" spans="1:7" x14ac:dyDescent="0.35">
      <c r="A244" s="1" t="s">
        <v>242</v>
      </c>
      <c r="B244">
        <v>159744</v>
      </c>
      <c r="D244">
        <v>24252.80000000001</v>
      </c>
      <c r="F244">
        <v>7612.8000000000011</v>
      </c>
      <c r="G244">
        <v>468891.73805764201</v>
      </c>
    </row>
    <row r="245" spans="1:7" x14ac:dyDescent="0.35">
      <c r="A245" s="1" t="s">
        <v>243</v>
      </c>
      <c r="B245">
        <v>468873.60000000003</v>
      </c>
      <c r="D245">
        <v>43472.000000000015</v>
      </c>
      <c r="G245">
        <v>528829.84014064353</v>
      </c>
    </row>
    <row r="246" spans="1:7" x14ac:dyDescent="0.35">
      <c r="A246" s="1" t="s">
        <v>244</v>
      </c>
      <c r="B246">
        <v>434004.48000000004</v>
      </c>
      <c r="C246">
        <v>26000</v>
      </c>
      <c r="D246">
        <v>39312.000000000015</v>
      </c>
      <c r="E246">
        <v>12896</v>
      </c>
      <c r="F246">
        <v>1268.8000000000002</v>
      </c>
      <c r="G246">
        <v>224055.76448711334</v>
      </c>
    </row>
    <row r="247" spans="1:7" x14ac:dyDescent="0.35">
      <c r="A247" s="1" t="s">
        <v>245</v>
      </c>
      <c r="B247">
        <v>316680</v>
      </c>
      <c r="D247">
        <v>29744</v>
      </c>
      <c r="F247">
        <v>8881.5999999999985</v>
      </c>
      <c r="G247">
        <v>78562.015358784352</v>
      </c>
    </row>
    <row r="248" spans="1:7" x14ac:dyDescent="0.35">
      <c r="A248" s="1" t="s">
        <v>246</v>
      </c>
      <c r="B248">
        <v>393120</v>
      </c>
      <c r="C248">
        <v>49920</v>
      </c>
      <c r="D248">
        <v>30420.000000000011</v>
      </c>
      <c r="E248">
        <v>19344.000000000004</v>
      </c>
      <c r="F248">
        <v>-3.637978807091713E-12</v>
      </c>
    </row>
    <row r="249" spans="1:7" x14ac:dyDescent="0.35">
      <c r="A249" s="1" t="s">
        <v>247</v>
      </c>
      <c r="B249">
        <v>305760</v>
      </c>
      <c r="C249">
        <v>49920</v>
      </c>
      <c r="D249">
        <v>30659.199999999997</v>
      </c>
      <c r="E249">
        <v>25792</v>
      </c>
    </row>
    <row r="250" spans="1:7" x14ac:dyDescent="0.35">
      <c r="A250" s="1" t="s">
        <v>248</v>
      </c>
      <c r="B250">
        <v>350438.40000000002</v>
      </c>
      <c r="C250">
        <v>32240.000000000015</v>
      </c>
      <c r="D250">
        <v>41236.000000000007</v>
      </c>
      <c r="E250">
        <v>58032</v>
      </c>
      <c r="F250">
        <v>6344</v>
      </c>
    </row>
    <row r="251" spans="1:7" x14ac:dyDescent="0.35">
      <c r="A251" s="1" t="s">
        <v>249</v>
      </c>
      <c r="B251">
        <v>368160</v>
      </c>
      <c r="D251">
        <v>41912</v>
      </c>
      <c r="F251">
        <v>3806.4000000000005</v>
      </c>
      <c r="G251">
        <v>239257.65317745763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D289-BBEB-493C-80F0-6F7C4965162E}">
  <dimension ref="A1:IP2"/>
  <sheetViews>
    <sheetView workbookViewId="0"/>
  </sheetViews>
  <sheetFormatPr defaultRowHeight="14.5" x14ac:dyDescent="0.35"/>
  <sheetData>
    <row r="1" spans="1:2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</row>
    <row r="2" spans="1:250" x14ac:dyDescent="0.35">
      <c r="A2">
        <v>5177.2717267855123</v>
      </c>
      <c r="B2">
        <v>743.04255999999998</v>
      </c>
      <c r="C2">
        <v>3324.9606454415657</v>
      </c>
      <c r="D2">
        <v>1985.7539287741272</v>
      </c>
      <c r="E2">
        <v>209.65401599999939</v>
      </c>
      <c r="F2">
        <v>493.47417600000017</v>
      </c>
      <c r="G2">
        <v>400.24857599999939</v>
      </c>
      <c r="H2">
        <v>5502.879810047426</v>
      </c>
      <c r="I2">
        <v>1097.3084399882423</v>
      </c>
      <c r="J2">
        <v>895.51820800000053</v>
      </c>
      <c r="K2">
        <v>3150.704430319036</v>
      </c>
      <c r="L2">
        <v>7012.6600758889908</v>
      </c>
      <c r="M2">
        <v>7428.1601555316729</v>
      </c>
      <c r="N2">
        <v>714.24620799999889</v>
      </c>
      <c r="O2">
        <v>42.814720000000001</v>
      </c>
      <c r="P2">
        <v>4862.0633396584699</v>
      </c>
      <c r="Q2">
        <v>5535.8229756356259</v>
      </c>
      <c r="R2">
        <v>2118.2970779593661</v>
      </c>
      <c r="S2">
        <v>839.03039999999999</v>
      </c>
      <c r="T2">
        <v>740.14220800000044</v>
      </c>
      <c r="U2">
        <v>1226.4345599999999</v>
      </c>
      <c r="V2">
        <v>1728.6097920000004</v>
      </c>
      <c r="W2">
        <v>2919.3877003145712</v>
      </c>
      <c r="X2">
        <v>3688.1264783620309</v>
      </c>
      <c r="Y2">
        <v>2677.0248960000008</v>
      </c>
      <c r="Z2">
        <v>1185.415296000001</v>
      </c>
      <c r="AA2">
        <v>3846.200165916463</v>
      </c>
      <c r="AB2">
        <v>2278.7572850285778</v>
      </c>
      <c r="AC2">
        <v>3625.9233920000001</v>
      </c>
      <c r="AD2">
        <v>4871.4051634410644</v>
      </c>
      <c r="AE2">
        <v>3440.9223679999996</v>
      </c>
      <c r="AF2">
        <v>2661.280127999999</v>
      </c>
      <c r="AG2">
        <v>1847.6844116017373</v>
      </c>
      <c r="AH2">
        <v>120.848</v>
      </c>
      <c r="AI2">
        <v>334.23104000000001</v>
      </c>
      <c r="AJ2">
        <v>3058.3355778437517</v>
      </c>
      <c r="AK2">
        <v>2597.1118422275822</v>
      </c>
      <c r="AL2">
        <v>2909.3647680584731</v>
      </c>
      <c r="AM2">
        <v>5620.7717476604512</v>
      </c>
      <c r="AN2">
        <v>1607.0709366713745</v>
      </c>
      <c r="AO2">
        <v>3250.6567556143268</v>
      </c>
      <c r="AP2">
        <v>821.76639999999998</v>
      </c>
      <c r="AQ2">
        <v>3733.0758001558879</v>
      </c>
      <c r="AR2">
        <v>4373.8447687240559</v>
      </c>
      <c r="AS2">
        <v>2785.3918670282314</v>
      </c>
      <c r="AT2">
        <v>675.85107199999959</v>
      </c>
      <c r="AU2">
        <v>3134.4034686760706</v>
      </c>
      <c r="AV2">
        <v>33.699327999999689</v>
      </c>
      <c r="AW2">
        <v>7063.3602033933694</v>
      </c>
      <c r="AX2">
        <v>3406.9468159999992</v>
      </c>
      <c r="AY2">
        <v>2849.5267840000006</v>
      </c>
      <c r="AZ2">
        <v>1183.4817279999997</v>
      </c>
      <c r="BA2">
        <v>2883.946181891662</v>
      </c>
      <c r="BB2">
        <v>1008.9081600000001</v>
      </c>
      <c r="BC2">
        <v>1411.5046400000001</v>
      </c>
      <c r="BD2">
        <v>1230.2890770142251</v>
      </c>
      <c r="BE2">
        <v>937.08992000000001</v>
      </c>
      <c r="BF2">
        <v>1474.7342299530735</v>
      </c>
      <c r="BG2">
        <v>3006.0767360000009</v>
      </c>
      <c r="BH2">
        <v>2920.4974042186077</v>
      </c>
      <c r="BI2">
        <v>3287.6720042651323</v>
      </c>
      <c r="BJ2">
        <v>893.9989760000002</v>
      </c>
      <c r="BK2">
        <v>2370.9687040000008</v>
      </c>
      <c r="BL2">
        <v>1155.5140480000011</v>
      </c>
      <c r="BM2">
        <v>4021.3518592000009</v>
      </c>
      <c r="BN2">
        <v>1138.04288</v>
      </c>
      <c r="BO2">
        <v>629.3763840000006</v>
      </c>
      <c r="BP2">
        <v>1100.2692480000005</v>
      </c>
      <c r="BQ2">
        <v>4227.6657864710205</v>
      </c>
      <c r="BR2">
        <v>1849.3196800000001</v>
      </c>
      <c r="BS2">
        <v>1167.4455007295044</v>
      </c>
      <c r="BT2">
        <v>3915.009113316898</v>
      </c>
      <c r="BU2">
        <v>1152.9589760000001</v>
      </c>
      <c r="BV2">
        <v>3307.8952369699987</v>
      </c>
      <c r="BW2">
        <v>2842.7592959999993</v>
      </c>
      <c r="BX2">
        <v>6146.6321665043824</v>
      </c>
      <c r="BY2">
        <v>2726.455179754345</v>
      </c>
      <c r="BZ2">
        <v>547.61408000000006</v>
      </c>
      <c r="CA2">
        <v>2115.3233920000002</v>
      </c>
      <c r="CB2">
        <v>6492.852288</v>
      </c>
      <c r="CC2">
        <v>547.3378560000009</v>
      </c>
      <c r="CD2">
        <v>2968.7174400000017</v>
      </c>
      <c r="CE2">
        <v>658.51801599999942</v>
      </c>
      <c r="CF2">
        <v>647.12377600000013</v>
      </c>
      <c r="CG2">
        <v>1095.2281600000001</v>
      </c>
      <c r="CH2">
        <v>3262.2054400000015</v>
      </c>
      <c r="CI2">
        <v>3382.2125291349271</v>
      </c>
      <c r="CJ2">
        <v>3444.0223781698746</v>
      </c>
      <c r="CK2">
        <v>6624.1747931535783</v>
      </c>
      <c r="CL2">
        <v>227.19424000000001</v>
      </c>
      <c r="CM2">
        <v>4961.8117120000006</v>
      </c>
      <c r="CN2">
        <v>5337.0067712000009</v>
      </c>
      <c r="CO2">
        <v>1611.6807573279416</v>
      </c>
      <c r="CP2">
        <v>6288.4677029159111</v>
      </c>
      <c r="CQ2">
        <v>1413.9906559999995</v>
      </c>
      <c r="CR2">
        <v>2102.8795007999997</v>
      </c>
      <c r="CS2">
        <v>522.06335999999999</v>
      </c>
      <c r="CT2">
        <v>1500.9816830131604</v>
      </c>
      <c r="CU2">
        <v>3642.9111679999996</v>
      </c>
      <c r="CV2">
        <v>5113.044351999999</v>
      </c>
      <c r="CW2">
        <v>3746.1110479213694</v>
      </c>
      <c r="CX2">
        <v>3592.7756110273522</v>
      </c>
      <c r="CY2">
        <v>3103.6528639999992</v>
      </c>
      <c r="CZ2">
        <v>1625.7854080000013</v>
      </c>
      <c r="DA2">
        <v>3622.3413638817074</v>
      </c>
      <c r="DB2">
        <v>1722.7610031284344</v>
      </c>
      <c r="DC2">
        <v>4151.6967266715028</v>
      </c>
      <c r="DD2">
        <v>2440.2107841134584</v>
      </c>
      <c r="DE2">
        <v>1614.8055039999999</v>
      </c>
      <c r="DF2">
        <v>1564.6708479999998</v>
      </c>
      <c r="DG2">
        <v>444.58252799999968</v>
      </c>
      <c r="DH2">
        <v>2112.4230400000033</v>
      </c>
      <c r="DI2">
        <v>2535.1900428811587</v>
      </c>
      <c r="DJ2">
        <v>794.21305600000096</v>
      </c>
      <c r="DK2">
        <v>3517.3428401162168</v>
      </c>
      <c r="DL2">
        <v>518.88678399999981</v>
      </c>
      <c r="DM2">
        <v>1908.7078400000016</v>
      </c>
      <c r="DN2">
        <v>2827.4288640000004</v>
      </c>
      <c r="DO2">
        <v>1728.6097920000004</v>
      </c>
      <c r="DP2">
        <v>6430.5081522835935</v>
      </c>
      <c r="DQ2">
        <v>915.13011200000108</v>
      </c>
      <c r="DR2">
        <v>1753.6858614514824</v>
      </c>
      <c r="DS2">
        <v>1251.1566080000005</v>
      </c>
      <c r="DT2">
        <v>917.61612800000046</v>
      </c>
      <c r="DU2">
        <v>3490.2319055832845</v>
      </c>
      <c r="DV2">
        <v>965.74815999999998</v>
      </c>
      <c r="DW2">
        <v>2886.2293402726054</v>
      </c>
      <c r="DX2">
        <v>2124.1043727589899</v>
      </c>
      <c r="DY2">
        <v>3167.2754400828039</v>
      </c>
      <c r="DZ2">
        <v>1468.5421915897437</v>
      </c>
      <c r="EA2">
        <v>2158.1381120000005</v>
      </c>
      <c r="EB2">
        <v>6055.5206400000006</v>
      </c>
      <c r="EC2">
        <v>3042.5458670426983</v>
      </c>
      <c r="ED2">
        <v>3384.4345600000001</v>
      </c>
      <c r="EE2">
        <v>1092.883343697928</v>
      </c>
      <c r="EF2">
        <v>4438.7443211890977</v>
      </c>
      <c r="EG2">
        <v>1104.55072</v>
      </c>
      <c r="EH2">
        <v>2148.5859140358111</v>
      </c>
      <c r="EI2">
        <v>258.26943999999997</v>
      </c>
      <c r="EJ2">
        <v>890.96051200000034</v>
      </c>
      <c r="EK2">
        <v>756.99187199999881</v>
      </c>
      <c r="EL2">
        <v>3001.4356926080272</v>
      </c>
      <c r="EM2">
        <v>4388.6009367848919</v>
      </c>
      <c r="EN2">
        <v>5614.4152575106027</v>
      </c>
      <c r="EO2">
        <v>828.29599568936919</v>
      </c>
      <c r="EP2">
        <v>544.98995200000036</v>
      </c>
      <c r="EQ2">
        <v>1484.2344192000003</v>
      </c>
      <c r="ER2">
        <v>5962.0290185548474</v>
      </c>
      <c r="ES2">
        <v>271.39008000000001</v>
      </c>
      <c r="ET2">
        <v>4362.001504883573</v>
      </c>
      <c r="EU2">
        <v>7709.3427839999995</v>
      </c>
      <c r="EV2">
        <v>2517.2293120000004</v>
      </c>
      <c r="EW2">
        <v>1827.6360960000009</v>
      </c>
      <c r="EX2">
        <v>3487.1208320000005</v>
      </c>
      <c r="EY2">
        <v>1455.5623679999997</v>
      </c>
      <c r="EZ2">
        <v>4274.554863970362</v>
      </c>
      <c r="FA2">
        <v>2789.3388448861656</v>
      </c>
      <c r="FB2">
        <v>3189.3353800654304</v>
      </c>
      <c r="FC2">
        <v>4473.1149498110481</v>
      </c>
      <c r="FD2">
        <v>4748.097201547087</v>
      </c>
      <c r="FE2">
        <v>2021.0687590703435</v>
      </c>
      <c r="FF2">
        <v>602.65171199999952</v>
      </c>
      <c r="FG2">
        <v>2786.8239359999993</v>
      </c>
      <c r="FH2">
        <v>345.97055999999998</v>
      </c>
      <c r="FI2">
        <v>2731.0909732151777</v>
      </c>
      <c r="FJ2">
        <v>1598.5635328000001</v>
      </c>
      <c r="FK2">
        <v>2039.4999040000007</v>
      </c>
      <c r="FL2">
        <v>6742.5587840000007</v>
      </c>
      <c r="FM2">
        <v>2477.4449831485676</v>
      </c>
      <c r="FN2">
        <v>4757.7132924882908</v>
      </c>
      <c r="FO2">
        <v>5460.474684808356</v>
      </c>
      <c r="FP2">
        <v>2703.611456000001</v>
      </c>
      <c r="FQ2">
        <v>2328.8583552000005</v>
      </c>
      <c r="FR2">
        <v>2983.4059251170584</v>
      </c>
      <c r="FS2">
        <v>2898.9794098590246</v>
      </c>
      <c r="FT2">
        <v>4013.1247883408591</v>
      </c>
      <c r="FU2">
        <v>4965.8267601170437</v>
      </c>
      <c r="FV2">
        <v>2951.893618886862</v>
      </c>
      <c r="FW2">
        <v>3923.8572519607296</v>
      </c>
      <c r="FX2">
        <v>3849.3878988625834</v>
      </c>
      <c r="FY2">
        <v>3381.1973633036969</v>
      </c>
      <c r="FZ2">
        <v>3663.2826879999998</v>
      </c>
      <c r="GA2">
        <v>4641.982067668192</v>
      </c>
      <c r="GB2">
        <v>3585.5256320000003</v>
      </c>
      <c r="GC2">
        <v>256.88832000000002</v>
      </c>
      <c r="GD2">
        <v>804.91673600000013</v>
      </c>
      <c r="GE2">
        <v>3236.8016897163593</v>
      </c>
      <c r="GF2">
        <v>3819.6473207212125</v>
      </c>
      <c r="GG2">
        <v>1597.6283718300272</v>
      </c>
      <c r="GH2">
        <v>9572.9304131171266</v>
      </c>
      <c r="GI2">
        <v>844.55488000000003</v>
      </c>
      <c r="GJ2">
        <v>2370.6471678550843</v>
      </c>
      <c r="GK2">
        <v>5053.0592328653365</v>
      </c>
      <c r="GL2">
        <v>1756.9978628980462</v>
      </c>
      <c r="GM2">
        <v>4745.1493114461018</v>
      </c>
      <c r="GN2">
        <v>1061.3622760305211</v>
      </c>
      <c r="GO2">
        <v>962.91520550470261</v>
      </c>
      <c r="GP2">
        <v>3531.9191178449582</v>
      </c>
      <c r="GQ2">
        <v>3286.012256722885</v>
      </c>
      <c r="GR2">
        <v>1871.9692247396952</v>
      </c>
      <c r="GS2">
        <v>3432.0170585721908</v>
      </c>
      <c r="GT2">
        <v>2657.2333894890576</v>
      </c>
      <c r="GU2">
        <v>457.15071999999998</v>
      </c>
      <c r="GV2">
        <v>10312.561796956239</v>
      </c>
      <c r="GW2">
        <v>5160.0921426625137</v>
      </c>
      <c r="GX2">
        <v>2792.2793600000014</v>
      </c>
      <c r="GY2">
        <v>4767.7928048837375</v>
      </c>
      <c r="GZ2">
        <v>4157.3093120000012</v>
      </c>
      <c r="HA2">
        <v>2069.0558720000004</v>
      </c>
      <c r="HB2">
        <v>1749.2372118951605</v>
      </c>
      <c r="HC2">
        <v>3161.7531379934771</v>
      </c>
      <c r="HD2">
        <v>2373.7862012194278</v>
      </c>
      <c r="HE2">
        <v>924.24550399999907</v>
      </c>
      <c r="HF2">
        <v>4898.694528</v>
      </c>
      <c r="HG2">
        <v>1029.7630720000004</v>
      </c>
      <c r="HH2">
        <v>4888.937199981071</v>
      </c>
      <c r="HI2">
        <v>5728.9208627826774</v>
      </c>
      <c r="HJ2">
        <v>3836.7513600000002</v>
      </c>
      <c r="HK2">
        <v>6975.5541655278666</v>
      </c>
      <c r="HL2">
        <v>4167.1185632294591</v>
      </c>
      <c r="HM2">
        <v>832.12480000000005</v>
      </c>
      <c r="HN2">
        <v>2542.29664</v>
      </c>
      <c r="HO2">
        <v>1967.5684872897596</v>
      </c>
      <c r="HP2">
        <v>1054.8304000000001</v>
      </c>
      <c r="HQ2">
        <v>600.64908799999967</v>
      </c>
      <c r="HR2">
        <v>1698.4323200000001</v>
      </c>
      <c r="HS2">
        <v>5080.8973222606637</v>
      </c>
      <c r="HT2">
        <v>2189.7657600000007</v>
      </c>
      <c r="HU2">
        <v>50.548992000000311</v>
      </c>
      <c r="HV2">
        <v>3834.0147081689529</v>
      </c>
      <c r="HW2">
        <v>1540.4321920000002</v>
      </c>
      <c r="HX2">
        <v>1619.5013120000003</v>
      </c>
      <c r="HY2">
        <v>2507.4233600000002</v>
      </c>
      <c r="HZ2">
        <v>4255.2307200000014</v>
      </c>
      <c r="IA2">
        <v>566.39731199999994</v>
      </c>
      <c r="IB2">
        <v>7455.0095360000014</v>
      </c>
      <c r="IC2">
        <v>3758.3728000000015</v>
      </c>
      <c r="ID2">
        <v>1245.7702400000001</v>
      </c>
      <c r="IE2">
        <v>428.49248</v>
      </c>
      <c r="IF2">
        <v>3331.8904486524034</v>
      </c>
      <c r="IG2">
        <v>1120.9169920000004</v>
      </c>
      <c r="IH2">
        <v>402.18214399999982</v>
      </c>
      <c r="II2">
        <v>4385.7288847027439</v>
      </c>
      <c r="IJ2">
        <v>6913.404922533874</v>
      </c>
      <c r="IK2">
        <v>4897.245975394434</v>
      </c>
      <c r="IL2">
        <v>2880.8809659823278</v>
      </c>
      <c r="IM2">
        <v>3272.2185600000003</v>
      </c>
      <c r="IN2">
        <v>2736.5511680000013</v>
      </c>
      <c r="IO2">
        <v>3242.2482560000008</v>
      </c>
      <c r="IP2">
        <v>4336.8233930983197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A320-C9D4-4274-BFDC-0D37EB2194C3}">
  <dimension ref="A1:DZ2"/>
  <sheetViews>
    <sheetView workbookViewId="0"/>
  </sheetViews>
  <sheetFormatPr defaultRowHeight="14.5" x14ac:dyDescent="0.35"/>
  <sheetData>
    <row r="1" spans="1:130" x14ac:dyDescent="0.35">
      <c r="A1" s="1" t="s">
        <v>0</v>
      </c>
      <c r="B1" s="1" t="s">
        <v>2</v>
      </c>
      <c r="C1" s="1" t="s">
        <v>3</v>
      </c>
      <c r="D1" s="1" t="s">
        <v>7</v>
      </c>
      <c r="E1" s="1" t="s">
        <v>8</v>
      </c>
      <c r="F1" s="1" t="s">
        <v>10</v>
      </c>
      <c r="G1" s="1" t="s">
        <v>11</v>
      </c>
      <c r="H1" s="1" t="s">
        <v>12</v>
      </c>
      <c r="I1" s="1" t="s">
        <v>15</v>
      </c>
      <c r="J1" s="1" t="s">
        <v>16</v>
      </c>
      <c r="K1" s="1" t="s">
        <v>17</v>
      </c>
      <c r="L1" s="1" t="s">
        <v>22</v>
      </c>
      <c r="M1" s="1" t="s">
        <v>23</v>
      </c>
      <c r="N1" s="1" t="s">
        <v>26</v>
      </c>
      <c r="O1" s="1" t="s">
        <v>27</v>
      </c>
      <c r="P1" s="1" t="s">
        <v>29</v>
      </c>
      <c r="Q1" s="1" t="s">
        <v>32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42</v>
      </c>
      <c r="Y1" s="1" t="s">
        <v>43</v>
      </c>
      <c r="Z1" s="1" t="s">
        <v>44</v>
      </c>
      <c r="AA1" s="1" t="s">
        <v>46</v>
      </c>
      <c r="AB1" s="1" t="s">
        <v>48</v>
      </c>
      <c r="AC1" s="1" t="s">
        <v>52</v>
      </c>
      <c r="AD1" s="1" t="s">
        <v>55</v>
      </c>
      <c r="AE1" s="1" t="s">
        <v>57</v>
      </c>
      <c r="AF1" s="1" t="s">
        <v>59</v>
      </c>
      <c r="AG1" s="1" t="s">
        <v>60</v>
      </c>
      <c r="AH1" s="1" t="s">
        <v>68</v>
      </c>
      <c r="AI1" s="1" t="s">
        <v>70</v>
      </c>
      <c r="AJ1" s="1" t="s">
        <v>71</v>
      </c>
      <c r="AK1" s="1" t="s">
        <v>73</v>
      </c>
      <c r="AL1" s="1" t="s">
        <v>75</v>
      </c>
      <c r="AM1" s="1" t="s">
        <v>76</v>
      </c>
      <c r="AN1" s="1" t="s">
        <v>86</v>
      </c>
      <c r="AO1" s="1" t="s">
        <v>87</v>
      </c>
      <c r="AP1" s="1" t="s">
        <v>88</v>
      </c>
      <c r="AQ1" s="1" t="s">
        <v>92</v>
      </c>
      <c r="AR1" s="1" t="s">
        <v>93</v>
      </c>
      <c r="AS1" s="1" t="s">
        <v>97</v>
      </c>
      <c r="AT1" s="1" t="s">
        <v>100</v>
      </c>
      <c r="AU1" s="1" t="s">
        <v>101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112</v>
      </c>
      <c r="BA1" s="1" t="s">
        <v>114</v>
      </c>
      <c r="BB1" s="1" t="s">
        <v>119</v>
      </c>
      <c r="BC1" s="1" t="s">
        <v>121</v>
      </c>
      <c r="BD1" s="1" t="s">
        <v>124</v>
      </c>
      <c r="BE1" s="1" t="s">
        <v>126</v>
      </c>
      <c r="BF1" s="1" t="s">
        <v>127</v>
      </c>
      <c r="BG1" s="1" t="s">
        <v>128</v>
      </c>
      <c r="BH1" s="1" t="s">
        <v>129</v>
      </c>
      <c r="BI1" s="1" t="s">
        <v>132</v>
      </c>
      <c r="BJ1" s="1" t="s">
        <v>134</v>
      </c>
      <c r="BK1" s="1" t="s">
        <v>135</v>
      </c>
      <c r="BL1" s="1" t="s">
        <v>137</v>
      </c>
      <c r="BM1" s="1" t="s">
        <v>141</v>
      </c>
      <c r="BN1" s="1" t="s">
        <v>142</v>
      </c>
      <c r="BO1" s="1" t="s">
        <v>143</v>
      </c>
      <c r="BP1" s="1" t="s">
        <v>144</v>
      </c>
      <c r="BQ1" s="1" t="s">
        <v>147</v>
      </c>
      <c r="BR1" s="1" t="s">
        <v>149</v>
      </c>
      <c r="BS1" s="1" t="s">
        <v>155</v>
      </c>
      <c r="BT1" s="1" t="s">
        <v>156</v>
      </c>
      <c r="BU1" s="1" t="s">
        <v>157</v>
      </c>
      <c r="BV1" s="1" t="s">
        <v>158</v>
      </c>
      <c r="BW1" s="1" t="s">
        <v>159</v>
      </c>
      <c r="BX1" s="1" t="s">
        <v>160</v>
      </c>
      <c r="BY1" s="1" t="s">
        <v>164</v>
      </c>
      <c r="BZ1" s="1" t="s">
        <v>168</v>
      </c>
      <c r="CA1" s="1" t="s">
        <v>169</v>
      </c>
      <c r="CB1" s="1" t="s">
        <v>170</v>
      </c>
      <c r="CC1" s="1" t="s">
        <v>173</v>
      </c>
      <c r="CD1" s="1" t="s">
        <v>174</v>
      </c>
      <c r="CE1" s="1" t="s">
        <v>175</v>
      </c>
      <c r="CF1" s="1" t="s">
        <v>176</v>
      </c>
      <c r="CG1" s="1" t="s">
        <v>177</v>
      </c>
      <c r="CH1" s="1" t="s">
        <v>178</v>
      </c>
      <c r="CI1" s="1" t="s">
        <v>179</v>
      </c>
      <c r="CJ1" s="1" t="s">
        <v>180</v>
      </c>
      <c r="CK1" s="1" t="s">
        <v>182</v>
      </c>
      <c r="CL1" s="1" t="s">
        <v>186</v>
      </c>
      <c r="CM1" s="1" t="s">
        <v>187</v>
      </c>
      <c r="CN1" s="1" t="s">
        <v>188</v>
      </c>
      <c r="CO1" s="1" t="s">
        <v>189</v>
      </c>
      <c r="CP1" s="1" t="s">
        <v>191</v>
      </c>
      <c r="CQ1" s="1" t="s">
        <v>192</v>
      </c>
      <c r="CR1" s="1" t="s">
        <v>193</v>
      </c>
      <c r="CS1" s="1" t="s">
        <v>194</v>
      </c>
      <c r="CT1" s="1" t="s">
        <v>195</v>
      </c>
      <c r="CU1" s="1" t="s">
        <v>196</v>
      </c>
      <c r="CV1" s="1" t="s">
        <v>197</v>
      </c>
      <c r="CW1" s="1" t="s">
        <v>198</v>
      </c>
      <c r="CX1" s="1" t="s">
        <v>199</v>
      </c>
      <c r="CY1" s="1" t="s">
        <v>200</v>
      </c>
      <c r="CZ1" s="1" t="s">
        <v>201</v>
      </c>
      <c r="DA1" s="1" t="s">
        <v>203</v>
      </c>
      <c r="DB1" s="1" t="s">
        <v>204</v>
      </c>
      <c r="DC1" s="1" t="s">
        <v>206</v>
      </c>
      <c r="DD1" s="1" t="s">
        <v>209</v>
      </c>
      <c r="DE1" s="1" t="s">
        <v>210</v>
      </c>
      <c r="DF1" s="1" t="s">
        <v>211</v>
      </c>
      <c r="DG1" s="1" t="s">
        <v>215</v>
      </c>
      <c r="DH1" s="1" t="s">
        <v>216</v>
      </c>
      <c r="DI1" s="1" t="s">
        <v>218</v>
      </c>
      <c r="DJ1" s="1" t="s">
        <v>219</v>
      </c>
      <c r="DK1" s="1" t="s">
        <v>222</v>
      </c>
      <c r="DL1" s="1" t="s">
        <v>226</v>
      </c>
      <c r="DM1" s="1" t="s">
        <v>229</v>
      </c>
      <c r="DN1" s="1" t="s">
        <v>239</v>
      </c>
      <c r="DO1" s="1" t="s">
        <v>242</v>
      </c>
      <c r="DP1" s="1" t="s">
        <v>243</v>
      </c>
      <c r="DQ1" s="1" t="s">
        <v>244</v>
      </c>
      <c r="DR1" s="1" t="s">
        <v>245</v>
      </c>
      <c r="DS1" s="1" t="s">
        <v>249</v>
      </c>
      <c r="DT1" s="1"/>
      <c r="DU1" s="1"/>
      <c r="DV1" s="1"/>
      <c r="DW1" s="1"/>
      <c r="DX1" s="1"/>
      <c r="DY1" s="1"/>
      <c r="DZ1" s="1"/>
    </row>
    <row r="2" spans="1:130" x14ac:dyDescent="0.35">
      <c r="A2">
        <v>228977.59740745666</v>
      </c>
      <c r="B2">
        <v>158295.88515686218</v>
      </c>
      <c r="C2">
        <v>143163.32662260949</v>
      </c>
      <c r="D2">
        <v>642430.95934449183</v>
      </c>
      <c r="E2">
        <v>99383.695178952185</v>
      </c>
      <c r="F2">
        <v>318555.679264915</v>
      </c>
      <c r="G2">
        <v>64982.705404968496</v>
      </c>
      <c r="H2">
        <v>469042.01860416774</v>
      </c>
      <c r="I2">
        <v>626574.45476784208</v>
      </c>
      <c r="J2">
        <v>250297.39946319652</v>
      </c>
      <c r="K2">
        <v>258055.84427098895</v>
      </c>
      <c r="L2">
        <v>282148.42233653169</v>
      </c>
      <c r="M2">
        <v>91850.334693076962</v>
      </c>
      <c r="N2">
        <v>268495.01293922635</v>
      </c>
      <c r="O2">
        <v>126543.9381067135</v>
      </c>
      <c r="P2">
        <v>405130.15593991929</v>
      </c>
      <c r="Q2">
        <v>65013.724638815918</v>
      </c>
      <c r="R2">
        <v>195964.7075065893</v>
      </c>
      <c r="S2">
        <v>50115.301540298329</v>
      </c>
      <c r="T2">
        <v>180986.1445871194</v>
      </c>
      <c r="U2">
        <v>651688.96922597161</v>
      </c>
      <c r="V2">
        <v>160305.55552279734</v>
      </c>
      <c r="W2">
        <v>184607.94030336256</v>
      </c>
      <c r="X2">
        <v>212146.21086685039</v>
      </c>
      <c r="Y2">
        <v>418575.56155482784</v>
      </c>
      <c r="Z2">
        <v>137168.3269620827</v>
      </c>
      <c r="AA2">
        <v>203104.71516205868</v>
      </c>
      <c r="AB2">
        <v>634501.14677610993</v>
      </c>
      <c r="AC2">
        <v>191792.9242607925</v>
      </c>
      <c r="AD2">
        <v>57530.899550335162</v>
      </c>
      <c r="AE2">
        <v>113210.52860739057</v>
      </c>
      <c r="AF2">
        <v>199596.0264184649</v>
      </c>
      <c r="AG2">
        <v>266102.52594354405</v>
      </c>
      <c r="AH2">
        <v>281640.65458900912</v>
      </c>
      <c r="AI2">
        <v>162924.10553155193</v>
      </c>
      <c r="AJ2">
        <v>490009.00622242427</v>
      </c>
      <c r="AK2">
        <v>408060.99351957819</v>
      </c>
      <c r="AL2">
        <v>141870.41543740698</v>
      </c>
      <c r="AM2">
        <v>110113.11984252182</v>
      </c>
      <c r="AN2">
        <v>172825.35679742871</v>
      </c>
      <c r="AO2">
        <v>350553.74900148704</v>
      </c>
      <c r="AP2">
        <v>455202.60571590031</v>
      </c>
      <c r="AQ2">
        <v>136559.80562167781</v>
      </c>
      <c r="AR2">
        <v>604638.38899335999</v>
      </c>
      <c r="AS2">
        <v>151899.45828511455</v>
      </c>
      <c r="AT2">
        <v>135537.35059056766</v>
      </c>
      <c r="AU2">
        <v>362907.86431134841</v>
      </c>
      <c r="AV2">
        <v>201698.93793399227</v>
      </c>
      <c r="AW2">
        <v>209656.75830247503</v>
      </c>
      <c r="AX2">
        <v>517948.3311252261</v>
      </c>
      <c r="AY2">
        <v>208964.02411347278</v>
      </c>
      <c r="AZ2">
        <v>262621.7293495721</v>
      </c>
      <c r="BA2">
        <v>438595.50724641827</v>
      </c>
      <c r="BB2">
        <v>149762.02293427612</v>
      </c>
      <c r="BC2">
        <v>51084.036483656921</v>
      </c>
      <c r="BD2">
        <v>440825.33517820563</v>
      </c>
      <c r="BE2">
        <v>384753.0934145489</v>
      </c>
      <c r="BF2">
        <v>108005.63686129369</v>
      </c>
      <c r="BG2">
        <v>292794.51326548256</v>
      </c>
      <c r="BH2">
        <v>60069.992709298735</v>
      </c>
      <c r="BI2">
        <v>330398.73901245469</v>
      </c>
      <c r="BJ2">
        <v>89606.865014748255</v>
      </c>
      <c r="BK2">
        <v>135849.59054052681</v>
      </c>
      <c r="BL2">
        <v>234079.81596924856</v>
      </c>
      <c r="BM2">
        <v>240986.64768193173</v>
      </c>
      <c r="BN2">
        <v>557599.47602182091</v>
      </c>
      <c r="BO2">
        <v>537392.46649256069</v>
      </c>
      <c r="BP2">
        <v>47315.372844784521</v>
      </c>
      <c r="BQ2">
        <v>136948.7365293444</v>
      </c>
      <c r="BR2">
        <v>287582.33748246561</v>
      </c>
      <c r="BS2">
        <v>436715.06264613877</v>
      </c>
      <c r="BT2">
        <v>275583.55133827799</v>
      </c>
      <c r="BU2">
        <v>169288.79338334795</v>
      </c>
      <c r="BV2">
        <v>580373.89003178431</v>
      </c>
      <c r="BW2">
        <v>378489.27975106717</v>
      </c>
      <c r="BX2">
        <v>123313.82516119623</v>
      </c>
      <c r="BY2">
        <v>224691.28150830991</v>
      </c>
      <c r="BZ2">
        <v>246416.38420912129</v>
      </c>
      <c r="CA2">
        <v>138428.68621811591</v>
      </c>
      <c r="CB2">
        <v>645716.64530246321</v>
      </c>
      <c r="CC2">
        <v>356134.5212525691</v>
      </c>
      <c r="CD2">
        <v>384957.28461732308</v>
      </c>
      <c r="CE2">
        <v>132361.46330434602</v>
      </c>
      <c r="CF2">
        <v>459993.47592124162</v>
      </c>
      <c r="CG2">
        <v>67853.492001033446</v>
      </c>
      <c r="CH2">
        <v>323246.35722300143</v>
      </c>
      <c r="CI2">
        <v>308016.69320219627</v>
      </c>
      <c r="CJ2">
        <v>380110.87037706288</v>
      </c>
      <c r="CK2">
        <v>114176.88488978818</v>
      </c>
      <c r="CL2">
        <v>165099.2539934277</v>
      </c>
      <c r="CM2">
        <v>287199.29047006206</v>
      </c>
      <c r="CN2">
        <v>127683.48250452205</v>
      </c>
      <c r="CO2">
        <v>451855.18751763942</v>
      </c>
      <c r="CP2">
        <v>140214.29588178982</v>
      </c>
      <c r="CQ2">
        <v>357482.89651586406</v>
      </c>
      <c r="CR2">
        <v>171892.11188223577</v>
      </c>
      <c r="CS2">
        <v>138941.00039850926</v>
      </c>
      <c r="CT2">
        <v>84454.116269656632</v>
      </c>
      <c r="CU2">
        <v>70137.350226611903</v>
      </c>
      <c r="CV2">
        <v>435008.32979592751</v>
      </c>
      <c r="CW2">
        <v>260236.56396428967</v>
      </c>
      <c r="CX2">
        <v>186014.27601501433</v>
      </c>
      <c r="CY2">
        <v>410332.43894159503</v>
      </c>
      <c r="CZ2">
        <v>267793.75142907503</v>
      </c>
      <c r="DA2">
        <v>684821.45616810827</v>
      </c>
      <c r="DB2">
        <v>260065.51064194489</v>
      </c>
      <c r="DC2">
        <v>381734.20507285197</v>
      </c>
      <c r="DD2">
        <v>102478.53914083737</v>
      </c>
      <c r="DE2">
        <v>152623.64126407777</v>
      </c>
      <c r="DF2">
        <v>104257.9218703958</v>
      </c>
      <c r="DG2">
        <v>196515.32288871534</v>
      </c>
      <c r="DH2">
        <v>437637.28656365606</v>
      </c>
      <c r="DI2">
        <v>552645.66589275119</v>
      </c>
      <c r="DJ2">
        <v>120222.41687190603</v>
      </c>
      <c r="DK2">
        <v>108330.15531472271</v>
      </c>
      <c r="DL2">
        <v>320491.37985853344</v>
      </c>
      <c r="DM2">
        <v>202543.85363990243</v>
      </c>
      <c r="DN2">
        <v>286344.3302187355</v>
      </c>
      <c r="DO2">
        <v>468891.73805764201</v>
      </c>
      <c r="DP2">
        <v>528829.84014064353</v>
      </c>
      <c r="DQ2">
        <v>224055.76448711334</v>
      </c>
      <c r="DR2">
        <v>78562.015358784352</v>
      </c>
      <c r="DS2">
        <v>239257.65317745763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Savings Percent</vt:lpstr>
      <vt:lpstr>Figures</vt:lpstr>
      <vt:lpstr>Summary</vt:lpstr>
      <vt:lpstr>SavingsBreakdown</vt:lpstr>
      <vt:lpstr>OutdoorDetails</vt:lpstr>
      <vt:lpstr>WaterBefore</vt:lpstr>
      <vt:lpstr>WaterAfter</vt:lpstr>
      <vt:lpstr>LongTermActions</vt:lpstr>
      <vt:lpstr>ShortTermActions</vt:lpstr>
      <vt:lpstr>WillingLong</vt:lpstr>
      <vt:lpstr>WillingShort</vt:lpstr>
      <vt:lpstr>MCResults</vt:lpstr>
      <vt:lpstr>MCWaterBefore</vt:lpstr>
      <vt:lpstr>MCWaterAfter</vt:lpstr>
      <vt:lpstr>MCActionShort</vt:lpstr>
      <vt:lpstr>MCActionLong</vt:lpstr>
      <vt:lpstr>MCWillingShort</vt:lpstr>
      <vt:lpstr>MCWillingLong</vt:lpstr>
      <vt:lpstr>MCOutdoorBase</vt:lpstr>
      <vt:lpstr>MCOutdoorTarget</vt:lpstr>
      <vt:lpstr>MCOutdoorWilling</vt:lpstr>
      <vt:lpstr>MCWaterSavings</vt:lpstr>
      <vt:lpstr>MCBillSavings</vt:lpstr>
      <vt:lpstr>MCOutdoorReductionVol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Caitlyn Andrus</dc:creator>
  <cp:lastModifiedBy>Caitlyn Andrus</cp:lastModifiedBy>
  <dcterms:created xsi:type="dcterms:W3CDTF">2025-12-11T04:54:02Z</dcterms:created>
  <dcterms:modified xsi:type="dcterms:W3CDTF">2025-12-11T22:38:56Z</dcterms:modified>
</cp:coreProperties>
</file>